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<sst xmlns="http://schemas.openxmlformats.org/spreadsheetml/2006/main" count="184" uniqueCount="50">
  <si>
    <t>cust_id</t>
  </si>
  <si>
    <t>acct_id</t>
  </si>
  <si>
    <t>trans_dt</t>
  </si>
  <si>
    <t>trans_sj</t>
  </si>
  <si>
    <t>trans_amt</t>
  </si>
  <si>
    <t>local_ccy_amt</t>
  </si>
  <si>
    <t>tm_bal</t>
  </si>
  <si>
    <t>trans_oppo_acct_id</t>
  </si>
  <si>
    <t>deb_crd_ind</t>
  </si>
  <si>
    <t>trans_channel</t>
  </si>
  <si>
    <t>trans_abstract</t>
  </si>
  <si>
    <t>frozen_time</t>
  </si>
  <si>
    <t>is_inter_bank</t>
  </si>
  <si>
    <t>is_third_party</t>
  </si>
  <si>
    <t>label</t>
  </si>
  <si>
    <t>salary_flag</t>
  </si>
  <si>
    <t>amt_crd_3d</t>
  </si>
  <si>
    <t>count_third_party_10amt_3d</t>
  </si>
  <si>
    <t>count_deb_3d</t>
  </si>
  <si>
    <t>deb_crd_ratio_3d</t>
  </si>
  <si>
    <t>deb_crd_amt_ratio_3d</t>
  </si>
  <si>
    <t>amt_night_3d</t>
  </si>
  <si>
    <t>oppo_intsct_7d_30d</t>
  </si>
  <si>
    <t>deb_crd_ratio_7d</t>
  </si>
  <si>
    <t>amt_deb_7d</t>
  </si>
  <si>
    <t>deb_crd_amt_ratio_7d</t>
  </si>
  <si>
    <t>oppo_intsct_30d_60d</t>
  </si>
  <si>
    <t>deb_crd_ratio_30d</t>
  </si>
  <si>
    <t>deb_crd_amt_ratio_30d</t>
  </si>
  <si>
    <t>amt_inter_bank_30d</t>
  </si>
  <si>
    <t>count_intbank_oppo_60d</t>
  </si>
  <si>
    <t>deb_crd_ratio_60d</t>
  </si>
  <si>
    <t>deb_crd_amt_ratio_60d</t>
  </si>
  <si>
    <t>count_trans_day_60d</t>
  </si>
  <si>
    <t>deb_crd_ratio_90d</t>
  </si>
  <si>
    <t>bfe_day_limit</t>
  </si>
  <si>
    <t>is_stranger_oneyear</t>
  </si>
  <si>
    <t>DEBIT</t>
  </si>
  <si>
    <t>S94</t>
  </si>
  <si>
    <t>网联付款</t>
  </si>
  <si>
    <t>CREDIT</t>
  </si>
  <si>
    <t>充值交易</t>
  </si>
  <si>
    <t>C28</t>
  </si>
  <si>
    <t>跨行转账</t>
  </si>
  <si>
    <t>C13</t>
  </si>
  <si>
    <t>银联入账</t>
  </si>
  <si>
    <t>xxx</t>
  </si>
  <si>
    <t>S42</t>
  </si>
  <si>
    <t>消费</t>
  </si>
  <si>
    <t>S53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</si>
</sst>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/>
    </xf>
    <xf numFmtId="22" fontId="0" fillId="0" borderId="0" xfId="0" applyNumberFormat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50"/>
  <sheetViews>
    <sheetView tabSelected="1" workbookViewId="0">
      <selection activeCell="H56" sqref="H56"/>
    </sheetView>
  </sheetViews>
  <sheetFormatPr defaultColWidth="9" defaultRowHeight="13.5"/>
  <cols>
    <col min="3" max="3" width="9.375"/>
    <col min="4" max="4" width="19" customWidth="1"/>
    <col min="12" max="12" width="9.375"/>
    <col min="17" max="17" width="10.375"/>
  </cols>
  <sheetData>
    <row r="1" s="1" customFormat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="1" customFormat="1" spans="1:37">
      <c r="A2" s="1">
        <v>100000</v>
      </c>
      <c r="B2" s="1">
        <v>300000</v>
      </c>
      <c r="C2" s="1">
        <v>20250328</v>
      </c>
      <c r="D2" s="2">
        <v>45744.3552314815</v>
      </c>
      <c r="E2" s="1">
        <v>5.88</v>
      </c>
      <c r="F2" s="1">
        <v>-5.88</v>
      </c>
      <c r="G2" s="1">
        <v>24779.8</v>
      </c>
      <c r="H2" s="1">
        <v>2.0887014065021e+19</v>
      </c>
      <c r="I2" s="1" t="s">
        <v>37</v>
      </c>
      <c r="J2" s="1" t="s">
        <v>38</v>
      </c>
      <c r="K2" s="1" t="s">
        <v>39</v>
      </c>
      <c r="L2" s="1"/>
      <c r="M2" s="1">
        <v>0</v>
      </c>
      <c r="N2" s="1">
        <v>1</v>
      </c>
      <c r="O2" s="1">
        <v>0</v>
      </c>
      <c r="P2" s="1">
        <v>2</v>
      </c>
      <c r="Q2" s="1">
        <v>0</v>
      </c>
      <c r="R2" s="1">
        <v>2</v>
      </c>
      <c r="S2" s="1">
        <v>2</v>
      </c>
      <c r="T2" s="1"/>
      <c r="U2" s="1"/>
      <c r="V2" s="1">
        <v>0</v>
      </c>
      <c r="W2" s="1">
        <v>3</v>
      </c>
      <c r="X2" s="1">
        <v>2</v>
      </c>
      <c r="Y2" s="1">
        <v>111.58</v>
      </c>
      <c r="Z2" s="1">
        <v>3.6345</v>
      </c>
      <c r="AA2" s="1">
        <v>1</v>
      </c>
      <c r="AB2" s="1">
        <v>1.2666</v>
      </c>
      <c r="AC2" s="1">
        <v>1.5761</v>
      </c>
      <c r="AD2" s="1">
        <v>0</v>
      </c>
      <c r="AE2" s="1">
        <v>0</v>
      </c>
      <c r="AF2" s="1">
        <v>2.0555</v>
      </c>
      <c r="AG2" s="1">
        <v>1.4933</v>
      </c>
      <c r="AH2" s="1">
        <v>33</v>
      </c>
      <c r="AI2" s="1">
        <v>2</v>
      </c>
      <c r="AJ2" s="1"/>
      <c r="AK2" s="1">
        <v>0</v>
      </c>
    </row>
    <row r="3" s="1" customFormat="1" spans="1:37">
      <c r="A3" s="1">
        <f t="shared" ref="A3:A50" si="0">A2+1</f>
        <v>100001</v>
      </c>
      <c r="B3" s="1">
        <f t="shared" ref="B3:B50" si="1">B2+1</f>
        <v>300001</v>
      </c>
      <c r="C3" s="1">
        <v>20250517</v>
      </c>
      <c r="D3" s="2">
        <v>45794.6487615741</v>
      </c>
      <c r="E3" s="1">
        <v>50.2</v>
      </c>
      <c r="F3" s="1">
        <v>-50.2</v>
      </c>
      <c r="G3" s="1">
        <v>13259.41</v>
      </c>
      <c r="H3" s="1">
        <v>2.08802154160778e+19</v>
      </c>
      <c r="I3" s="1" t="s">
        <v>37</v>
      </c>
      <c r="J3" s="1" t="s">
        <v>38</v>
      </c>
      <c r="K3" s="1" t="s">
        <v>39</v>
      </c>
      <c r="L3" s="1"/>
      <c r="M3" s="1">
        <v>0</v>
      </c>
      <c r="N3" s="1">
        <v>1</v>
      </c>
      <c r="O3" s="1">
        <v>0</v>
      </c>
      <c r="P3" s="1">
        <v>2</v>
      </c>
      <c r="Q3" s="1">
        <v>0</v>
      </c>
      <c r="R3" s="1">
        <v>0</v>
      </c>
      <c r="S3" s="1">
        <v>2</v>
      </c>
      <c r="T3" s="1"/>
      <c r="U3" s="1"/>
      <c r="V3" s="1">
        <v>0</v>
      </c>
      <c r="W3" s="1">
        <v>2</v>
      </c>
      <c r="X3" s="1"/>
      <c r="Y3" s="1">
        <v>168.74</v>
      </c>
      <c r="Z3" s="1"/>
      <c r="AA3" s="1">
        <v>2</v>
      </c>
      <c r="AB3" s="1">
        <v>1</v>
      </c>
      <c r="AC3" s="1">
        <v>262.9392</v>
      </c>
      <c r="AD3" s="1">
        <v>0</v>
      </c>
      <c r="AE3" s="1">
        <v>0</v>
      </c>
      <c r="AF3" s="1">
        <v>7.5</v>
      </c>
      <c r="AG3" s="1">
        <v>396.8706</v>
      </c>
      <c r="AH3" s="1">
        <v>21</v>
      </c>
      <c r="AI3" s="1">
        <v>6.8</v>
      </c>
      <c r="AJ3" s="1"/>
      <c r="AK3" s="1">
        <v>0</v>
      </c>
    </row>
    <row r="4" s="1" customFormat="1" spans="1:37">
      <c r="A4" s="1">
        <f t="shared" si="0"/>
        <v>100002</v>
      </c>
      <c r="B4" s="1">
        <f t="shared" si="1"/>
        <v>300002</v>
      </c>
      <c r="C4" s="1">
        <v>20250304</v>
      </c>
      <c r="D4" s="2">
        <v>45720.6257291667</v>
      </c>
      <c r="E4" s="1">
        <v>24</v>
      </c>
      <c r="F4" s="1">
        <v>-24</v>
      </c>
      <c r="G4" s="1">
        <v>200.92</v>
      </c>
      <c r="H4" s="1">
        <v>2.08874111285823e+19</v>
      </c>
      <c r="I4" s="1" t="s">
        <v>37</v>
      </c>
      <c r="J4" s="1" t="s">
        <v>38</v>
      </c>
      <c r="K4" s="1" t="s">
        <v>39</v>
      </c>
      <c r="L4" s="1"/>
      <c r="M4" s="1">
        <v>0</v>
      </c>
      <c r="N4" s="1">
        <v>1</v>
      </c>
      <c r="O4" s="1">
        <v>0</v>
      </c>
      <c r="P4" s="1">
        <v>2</v>
      </c>
      <c r="Q4" s="1">
        <v>0</v>
      </c>
      <c r="R4" s="1">
        <v>8</v>
      </c>
      <c r="S4" s="1">
        <v>14</v>
      </c>
      <c r="T4" s="1"/>
      <c r="U4" s="1"/>
      <c r="V4" s="1">
        <v>22</v>
      </c>
      <c r="W4" s="1">
        <v>2</v>
      </c>
      <c r="X4" s="1"/>
      <c r="Y4" s="1">
        <v>387.1</v>
      </c>
      <c r="Z4" s="1"/>
      <c r="AA4" s="1">
        <v>0</v>
      </c>
      <c r="AB4" s="1"/>
      <c r="AC4" s="1"/>
      <c r="AD4" s="1">
        <v>0</v>
      </c>
      <c r="AE4" s="1">
        <v>0</v>
      </c>
      <c r="AF4" s="1"/>
      <c r="AG4" s="1"/>
      <c r="AH4" s="1">
        <v>7</v>
      </c>
      <c r="AI4" s="1"/>
      <c r="AJ4" s="1"/>
      <c r="AK4" s="1">
        <v>0</v>
      </c>
    </row>
    <row r="5" s="1" customFormat="1" spans="1:37">
      <c r="A5" s="1">
        <f t="shared" si="0"/>
        <v>100003</v>
      </c>
      <c r="B5" s="1">
        <f t="shared" si="1"/>
        <v>300003</v>
      </c>
      <c r="C5" s="1">
        <v>20250202</v>
      </c>
      <c r="D5" s="2">
        <v>45690.465462963</v>
      </c>
      <c r="E5" s="1">
        <v>8</v>
      </c>
      <c r="F5" s="1">
        <v>-8</v>
      </c>
      <c r="G5" s="1">
        <v>9481.41</v>
      </c>
      <c r="H5" s="1">
        <v>1622194480</v>
      </c>
      <c r="I5" s="1" t="s">
        <v>37</v>
      </c>
      <c r="J5" s="1" t="s">
        <v>38</v>
      </c>
      <c r="K5" s="1" t="s">
        <v>39</v>
      </c>
      <c r="L5" s="1"/>
      <c r="M5" s="1">
        <v>0</v>
      </c>
      <c r="N5" s="1">
        <v>1</v>
      </c>
      <c r="O5" s="1">
        <v>0</v>
      </c>
      <c r="P5" s="1">
        <v>2</v>
      </c>
      <c r="Q5" s="1">
        <v>200</v>
      </c>
      <c r="R5" s="1">
        <v>13</v>
      </c>
      <c r="S5" s="1">
        <v>27</v>
      </c>
      <c r="T5" s="1">
        <v>27</v>
      </c>
      <c r="U5" s="1">
        <v>11.1</v>
      </c>
      <c r="V5" s="1">
        <v>51</v>
      </c>
      <c r="W5" s="1">
        <v>10</v>
      </c>
      <c r="X5" s="1">
        <v>6</v>
      </c>
      <c r="Y5" s="1">
        <v>3421</v>
      </c>
      <c r="Z5" s="1">
        <v>17.105</v>
      </c>
      <c r="AA5" s="1">
        <v>1</v>
      </c>
      <c r="AB5" s="1">
        <v>4</v>
      </c>
      <c r="AC5" s="1">
        <v>47.7701</v>
      </c>
      <c r="AD5" s="1">
        <v>0</v>
      </c>
      <c r="AE5" s="1">
        <v>0</v>
      </c>
      <c r="AF5" s="1">
        <v>31.5</v>
      </c>
      <c r="AG5" s="1">
        <v>1.3802</v>
      </c>
      <c r="AH5" s="1">
        <v>38</v>
      </c>
      <c r="AI5" s="1">
        <v>50.25</v>
      </c>
      <c r="AJ5" s="1">
        <v>20000</v>
      </c>
      <c r="AK5" s="1">
        <v>0</v>
      </c>
    </row>
    <row r="6" s="1" customFormat="1" spans="1:37">
      <c r="A6" s="1">
        <f t="shared" si="0"/>
        <v>100004</v>
      </c>
      <c r="B6" s="1">
        <f t="shared" si="1"/>
        <v>300004</v>
      </c>
      <c r="C6" s="1">
        <v>20250321</v>
      </c>
      <c r="D6" s="2">
        <v>45737.8159953704</v>
      </c>
      <c r="E6" s="1">
        <v>11</v>
      </c>
      <c r="F6" s="1">
        <v>-11</v>
      </c>
      <c r="G6" s="1">
        <v>80.61</v>
      </c>
      <c r="H6" s="1">
        <v>10250178274</v>
      </c>
      <c r="I6" s="1" t="s">
        <v>37</v>
      </c>
      <c r="J6" s="1" t="s">
        <v>38</v>
      </c>
      <c r="K6" s="1" t="s">
        <v>39</v>
      </c>
      <c r="L6" s="1"/>
      <c r="M6" s="1">
        <v>0</v>
      </c>
      <c r="N6" s="1">
        <v>1</v>
      </c>
      <c r="O6" s="1">
        <v>0</v>
      </c>
      <c r="P6" s="1">
        <v>2</v>
      </c>
      <c r="Q6" s="1">
        <v>1245</v>
      </c>
      <c r="R6" s="1">
        <v>9</v>
      </c>
      <c r="S6" s="1">
        <v>21</v>
      </c>
      <c r="T6" s="1">
        <v>2.3333</v>
      </c>
      <c r="U6" s="1">
        <v>0.9801</v>
      </c>
      <c r="V6" s="1">
        <v>0</v>
      </c>
      <c r="W6" s="1">
        <v>13</v>
      </c>
      <c r="X6" s="1">
        <v>2.25</v>
      </c>
      <c r="Y6" s="1">
        <v>1858.3</v>
      </c>
      <c r="Z6" s="1">
        <v>0.9868</v>
      </c>
      <c r="AA6" s="1">
        <v>9</v>
      </c>
      <c r="AB6" s="1">
        <v>1.7638</v>
      </c>
      <c r="AC6" s="1">
        <v>1.001</v>
      </c>
      <c r="AD6" s="1">
        <v>14670</v>
      </c>
      <c r="AE6" s="1">
        <v>1</v>
      </c>
      <c r="AF6" s="1">
        <v>1.7575</v>
      </c>
      <c r="AG6" s="1">
        <v>0.9999</v>
      </c>
      <c r="AH6" s="1">
        <v>60</v>
      </c>
      <c r="AI6" s="1">
        <v>1.6839</v>
      </c>
      <c r="AJ6" s="1"/>
      <c r="AK6" s="1">
        <v>0</v>
      </c>
    </row>
    <row r="7" s="1" customFormat="1" spans="1:37">
      <c r="A7" s="1">
        <f t="shared" si="0"/>
        <v>100005</v>
      </c>
      <c r="B7" s="1">
        <f t="shared" si="1"/>
        <v>300005</v>
      </c>
      <c r="C7" s="1">
        <v>20250528</v>
      </c>
      <c r="D7" s="2">
        <v>45805.924375</v>
      </c>
      <c r="E7" s="1">
        <v>73</v>
      </c>
      <c r="F7" s="1">
        <v>-73</v>
      </c>
      <c r="G7" s="1">
        <v>34159.89</v>
      </c>
      <c r="H7" s="1">
        <v>2.08864174763022e+19</v>
      </c>
      <c r="I7" s="1" t="s">
        <v>37</v>
      </c>
      <c r="J7" s="1" t="s">
        <v>38</v>
      </c>
      <c r="K7" s="1" t="s">
        <v>39</v>
      </c>
      <c r="L7" s="1"/>
      <c r="M7" s="1">
        <v>0</v>
      </c>
      <c r="N7" s="1">
        <v>1</v>
      </c>
      <c r="O7" s="1">
        <v>0</v>
      </c>
      <c r="P7" s="1">
        <v>2</v>
      </c>
      <c r="Q7" s="1">
        <v>0</v>
      </c>
      <c r="R7" s="1">
        <v>0</v>
      </c>
      <c r="S7" s="1">
        <v>13</v>
      </c>
      <c r="T7" s="1"/>
      <c r="U7" s="1"/>
      <c r="V7" s="1">
        <v>0</v>
      </c>
      <c r="W7" s="1">
        <v>4</v>
      </c>
      <c r="X7" s="1">
        <v>5</v>
      </c>
      <c r="Y7" s="1">
        <v>19591.78</v>
      </c>
      <c r="Z7" s="1">
        <v>73.7004</v>
      </c>
      <c r="AA7" s="1">
        <v>3</v>
      </c>
      <c r="AB7" s="1">
        <v>3</v>
      </c>
      <c r="AC7" s="1">
        <v>1.3847</v>
      </c>
      <c r="AD7" s="1">
        <v>29000</v>
      </c>
      <c r="AE7" s="1">
        <v>1</v>
      </c>
      <c r="AF7" s="1">
        <v>11.4</v>
      </c>
      <c r="AG7" s="1">
        <v>2.0025</v>
      </c>
      <c r="AH7" s="1">
        <v>47</v>
      </c>
      <c r="AI7" s="1">
        <v>13.3333</v>
      </c>
      <c r="AJ7" s="1"/>
      <c r="AK7" s="1">
        <v>0</v>
      </c>
    </row>
    <row r="8" s="1" customFormat="1" spans="1:37">
      <c r="A8" s="1">
        <f t="shared" si="0"/>
        <v>100006</v>
      </c>
      <c r="B8" s="1">
        <f t="shared" si="1"/>
        <v>300006</v>
      </c>
      <c r="C8" s="1">
        <v>20250612</v>
      </c>
      <c r="D8" s="2">
        <v>45820.8169560185</v>
      </c>
      <c r="E8" s="1">
        <v>20</v>
      </c>
      <c r="F8" s="1">
        <v>-20</v>
      </c>
      <c r="G8" s="1">
        <v>1478.65</v>
      </c>
      <c r="H8" s="1">
        <v>2088231750873100</v>
      </c>
      <c r="I8" s="1" t="s">
        <v>37</v>
      </c>
      <c r="J8" s="1" t="s">
        <v>38</v>
      </c>
      <c r="K8" s="1" t="s">
        <v>39</v>
      </c>
      <c r="L8" s="1"/>
      <c r="M8" s="1">
        <v>0</v>
      </c>
      <c r="N8" s="1">
        <v>1</v>
      </c>
      <c r="O8" s="1">
        <v>0</v>
      </c>
      <c r="P8" s="1">
        <v>2</v>
      </c>
      <c r="Q8" s="1">
        <v>7008.4</v>
      </c>
      <c r="R8" s="1">
        <v>5</v>
      </c>
      <c r="S8" s="1">
        <v>14</v>
      </c>
      <c r="T8" s="1">
        <v>7</v>
      </c>
      <c r="U8" s="1">
        <v>0.7663</v>
      </c>
      <c r="V8" s="1">
        <v>9.5</v>
      </c>
      <c r="W8" s="1">
        <v>6</v>
      </c>
      <c r="X8" s="1">
        <v>2</v>
      </c>
      <c r="Y8" s="1">
        <v>5653.53</v>
      </c>
      <c r="Z8" s="1">
        <v>0.8066</v>
      </c>
      <c r="AA8" s="1">
        <v>9</v>
      </c>
      <c r="AB8" s="1">
        <v>2</v>
      </c>
      <c r="AC8" s="1">
        <v>1.0519</v>
      </c>
      <c r="AD8" s="1">
        <v>12271.5</v>
      </c>
      <c r="AE8" s="1">
        <v>2</v>
      </c>
      <c r="AF8" s="1">
        <v>24</v>
      </c>
      <c r="AG8" s="1">
        <v>1.0182</v>
      </c>
      <c r="AH8" s="1">
        <v>52</v>
      </c>
      <c r="AI8" s="1">
        <v>16.2727</v>
      </c>
      <c r="AJ8" s="1"/>
      <c r="AK8" s="1">
        <v>0</v>
      </c>
    </row>
    <row r="9" s="1" customFormat="1" spans="1:37">
      <c r="A9" s="1">
        <f t="shared" si="0"/>
        <v>100007</v>
      </c>
      <c r="B9" s="1">
        <f t="shared" si="1"/>
        <v>300007</v>
      </c>
      <c r="C9" s="1">
        <v>20250601</v>
      </c>
      <c r="D9" s="2">
        <v>45809.5950231481</v>
      </c>
      <c r="E9" s="1">
        <v>300</v>
      </c>
      <c r="F9" s="1">
        <v>300</v>
      </c>
      <c r="G9" s="1">
        <v>395.25</v>
      </c>
      <c r="H9" s="1">
        <v>215500690</v>
      </c>
      <c r="I9" s="1" t="s">
        <v>40</v>
      </c>
      <c r="J9" s="1" t="s">
        <v>38</v>
      </c>
      <c r="K9" s="1" t="s">
        <v>41</v>
      </c>
      <c r="L9" s="1"/>
      <c r="M9" s="1">
        <v>0</v>
      </c>
      <c r="N9" s="1">
        <v>1</v>
      </c>
      <c r="O9" s="1">
        <v>0</v>
      </c>
      <c r="P9" s="1">
        <v>2</v>
      </c>
      <c r="Q9" s="1">
        <v>300</v>
      </c>
      <c r="R9" s="1">
        <v>0</v>
      </c>
      <c r="S9" s="1">
        <v>1</v>
      </c>
      <c r="T9" s="1">
        <v>1</v>
      </c>
      <c r="U9" s="1">
        <v>0.8633</v>
      </c>
      <c r="V9" s="1">
        <v>0</v>
      </c>
      <c r="W9" s="1">
        <v>1</v>
      </c>
      <c r="X9" s="1">
        <v>1</v>
      </c>
      <c r="Y9" s="1">
        <v>259</v>
      </c>
      <c r="Z9" s="1">
        <v>0.8633</v>
      </c>
      <c r="AA9" s="1">
        <v>1</v>
      </c>
      <c r="AB9" s="1">
        <v>1</v>
      </c>
      <c r="AC9" s="1">
        <v>0.879</v>
      </c>
      <c r="AD9" s="1">
        <v>0</v>
      </c>
      <c r="AE9" s="1">
        <v>0</v>
      </c>
      <c r="AF9" s="1">
        <v>2.6666</v>
      </c>
      <c r="AG9" s="1">
        <v>0.9548</v>
      </c>
      <c r="AH9" s="1">
        <v>7</v>
      </c>
      <c r="AI9" s="1">
        <v>2.25</v>
      </c>
      <c r="AJ9" s="1"/>
      <c r="AK9" s="1">
        <v>0</v>
      </c>
    </row>
    <row r="10" s="1" customFormat="1" spans="1:37">
      <c r="A10" s="1">
        <f t="shared" si="0"/>
        <v>100008</v>
      </c>
      <c r="B10" s="1">
        <f t="shared" si="1"/>
        <v>300008</v>
      </c>
      <c r="C10" s="1">
        <v>20250309</v>
      </c>
      <c r="D10" s="2">
        <v>45725.1126851852</v>
      </c>
      <c r="E10" s="1">
        <v>499.98</v>
      </c>
      <c r="F10" s="1">
        <v>-499.98</v>
      </c>
      <c r="G10" s="1">
        <v>2600.03</v>
      </c>
      <c r="H10" s="1">
        <v>2.08884229106387e+19</v>
      </c>
      <c r="I10" s="1" t="s">
        <v>37</v>
      </c>
      <c r="J10" s="1" t="s">
        <v>38</v>
      </c>
      <c r="K10" s="1" t="s">
        <v>39</v>
      </c>
      <c r="L10" s="1">
        <v>20250314</v>
      </c>
      <c r="M10" s="1">
        <v>0</v>
      </c>
      <c r="N10" s="1">
        <v>1</v>
      </c>
      <c r="O10" s="1">
        <v>1</v>
      </c>
      <c r="P10" s="1">
        <v>2</v>
      </c>
      <c r="Q10" s="1">
        <v>11700.25</v>
      </c>
      <c r="R10" s="1">
        <v>8</v>
      </c>
      <c r="S10" s="1">
        <v>18</v>
      </c>
      <c r="T10" s="1">
        <v>1.2857</v>
      </c>
      <c r="U10" s="1">
        <v>0.9999</v>
      </c>
      <c r="V10" s="1">
        <v>19200.13</v>
      </c>
      <c r="W10" s="1">
        <v>0</v>
      </c>
      <c r="X10" s="1">
        <v>1.1666</v>
      </c>
      <c r="Y10" s="1">
        <v>21250.75</v>
      </c>
      <c r="Z10" s="1">
        <v>1</v>
      </c>
      <c r="AA10" s="1">
        <v>1</v>
      </c>
      <c r="AB10" s="1">
        <v>1.4074</v>
      </c>
      <c r="AC10" s="1">
        <v>1</v>
      </c>
      <c r="AD10" s="1">
        <v>14803.48</v>
      </c>
      <c r="AE10" s="1">
        <v>10</v>
      </c>
      <c r="AF10" s="1">
        <v>1.4814</v>
      </c>
      <c r="AG10" s="1">
        <v>1</v>
      </c>
      <c r="AH10" s="1">
        <v>18</v>
      </c>
      <c r="AI10" s="1">
        <v>1.9629</v>
      </c>
      <c r="AJ10" s="1"/>
      <c r="AK10" s="1">
        <v>0</v>
      </c>
    </row>
    <row r="11" s="1" customFormat="1" spans="1:37">
      <c r="A11" s="1">
        <f t="shared" si="0"/>
        <v>100009</v>
      </c>
      <c r="B11" s="1">
        <f t="shared" si="1"/>
        <v>300009</v>
      </c>
      <c r="C11" s="1">
        <v>20250531</v>
      </c>
      <c r="D11" s="2">
        <v>45808.0928240741</v>
      </c>
      <c r="E11" s="1">
        <v>1400</v>
      </c>
      <c r="F11" s="1">
        <v>-1400</v>
      </c>
      <c r="G11" s="1">
        <v>40.87</v>
      </c>
      <c r="H11" s="1">
        <v>481097893</v>
      </c>
      <c r="I11" s="1" t="s">
        <v>37</v>
      </c>
      <c r="J11" s="1" t="s">
        <v>38</v>
      </c>
      <c r="K11" s="1" t="s">
        <v>39</v>
      </c>
      <c r="L11" s="1"/>
      <c r="M11" s="1">
        <v>0</v>
      </c>
      <c r="N11" s="1">
        <v>1</v>
      </c>
      <c r="O11" s="1">
        <v>0</v>
      </c>
      <c r="P11" s="1">
        <v>2</v>
      </c>
      <c r="Q11" s="1">
        <v>5631</v>
      </c>
      <c r="R11" s="1">
        <v>0</v>
      </c>
      <c r="S11" s="1">
        <v>7</v>
      </c>
      <c r="T11" s="1">
        <v>1.75</v>
      </c>
      <c r="U11" s="1">
        <v>0.824</v>
      </c>
      <c r="V11" s="1">
        <v>2400</v>
      </c>
      <c r="W11" s="1">
        <v>1</v>
      </c>
      <c r="X11" s="1">
        <v>1.2222</v>
      </c>
      <c r="Y11" s="1">
        <v>13034</v>
      </c>
      <c r="Z11" s="1">
        <v>1.0002</v>
      </c>
      <c r="AA11" s="1">
        <v>1</v>
      </c>
      <c r="AB11" s="1">
        <v>1.0666</v>
      </c>
      <c r="AC11" s="1">
        <v>1.1076</v>
      </c>
      <c r="AD11" s="1">
        <v>800</v>
      </c>
      <c r="AE11" s="1">
        <v>1</v>
      </c>
      <c r="AF11" s="1">
        <v>1.6875</v>
      </c>
      <c r="AG11" s="1">
        <v>1.4663</v>
      </c>
      <c r="AH11" s="1">
        <v>15</v>
      </c>
      <c r="AI11" s="1">
        <v>1.7222</v>
      </c>
      <c r="AJ11" s="1"/>
      <c r="AK11" s="1">
        <v>0</v>
      </c>
    </row>
    <row r="12" s="1" customFormat="1" spans="1:37">
      <c r="A12" s="1">
        <f t="shared" si="0"/>
        <v>100010</v>
      </c>
      <c r="B12" s="1">
        <f t="shared" si="1"/>
        <v>300010</v>
      </c>
      <c r="C12" s="1">
        <v>20250111</v>
      </c>
      <c r="D12" s="2">
        <v>45668.902650463</v>
      </c>
      <c r="E12" s="1">
        <v>78</v>
      </c>
      <c r="F12" s="1">
        <v>-78</v>
      </c>
      <c r="G12" s="1">
        <v>19660.86</v>
      </c>
      <c r="H12" s="1">
        <v>10347656361</v>
      </c>
      <c r="I12" s="1" t="s">
        <v>37</v>
      </c>
      <c r="J12" s="1" t="s">
        <v>38</v>
      </c>
      <c r="K12" s="1" t="s">
        <v>39</v>
      </c>
      <c r="L12" s="1"/>
      <c r="M12" s="1">
        <v>0</v>
      </c>
      <c r="N12" s="1">
        <v>1</v>
      </c>
      <c r="O12" s="1">
        <v>0</v>
      </c>
      <c r="P12" s="1">
        <v>2</v>
      </c>
      <c r="Q12" s="1">
        <v>20000</v>
      </c>
      <c r="R12" s="1">
        <v>1</v>
      </c>
      <c r="S12" s="1">
        <v>7</v>
      </c>
      <c r="T12" s="1">
        <v>7</v>
      </c>
      <c r="U12" s="1">
        <v>0.3807</v>
      </c>
      <c r="V12" s="1">
        <v>0</v>
      </c>
      <c r="W12" s="1">
        <v>1</v>
      </c>
      <c r="X12" s="1">
        <v>1</v>
      </c>
      <c r="Y12" s="1">
        <v>13273.95</v>
      </c>
      <c r="Z12" s="1">
        <v>0.6636</v>
      </c>
      <c r="AA12" s="1">
        <v>2</v>
      </c>
      <c r="AB12" s="1">
        <v>1.25</v>
      </c>
      <c r="AC12" s="1">
        <v>2.2778</v>
      </c>
      <c r="AD12" s="1">
        <v>0</v>
      </c>
      <c r="AE12" s="1">
        <v>0</v>
      </c>
      <c r="AF12" s="1">
        <v>5.2222</v>
      </c>
      <c r="AG12" s="1">
        <v>1.8169</v>
      </c>
      <c r="AH12" s="1">
        <v>29</v>
      </c>
      <c r="AI12" s="1">
        <v>4.3076</v>
      </c>
      <c r="AJ12" s="1"/>
      <c r="AK12" s="1">
        <v>0</v>
      </c>
    </row>
    <row r="13" s="1" customFormat="1" spans="1:37">
      <c r="A13" s="1">
        <f t="shared" si="0"/>
        <v>100011</v>
      </c>
      <c r="B13" s="1">
        <f t="shared" si="1"/>
        <v>300011</v>
      </c>
      <c r="C13" s="1">
        <v>20250411</v>
      </c>
      <c r="D13" s="2">
        <v>45758.3527199074</v>
      </c>
      <c r="E13" s="1">
        <v>40</v>
      </c>
      <c r="F13" s="1">
        <v>-40</v>
      </c>
      <c r="G13" s="1">
        <v>4493.41</v>
      </c>
      <c r="H13" s="1">
        <v>11086907274</v>
      </c>
      <c r="I13" s="1" t="s">
        <v>37</v>
      </c>
      <c r="J13" s="1" t="s">
        <v>38</v>
      </c>
      <c r="K13" s="1" t="s">
        <v>39</v>
      </c>
      <c r="L13" s="1"/>
      <c r="M13" s="1">
        <v>0</v>
      </c>
      <c r="N13" s="1">
        <v>1</v>
      </c>
      <c r="O13" s="1">
        <v>0</v>
      </c>
      <c r="P13" s="1">
        <v>2</v>
      </c>
      <c r="Q13" s="1">
        <v>0</v>
      </c>
      <c r="R13" s="1">
        <v>5</v>
      </c>
      <c r="S13" s="1">
        <v>23</v>
      </c>
      <c r="T13" s="1"/>
      <c r="U13" s="1"/>
      <c r="V13" s="1">
        <v>0</v>
      </c>
      <c r="W13" s="1">
        <v>9</v>
      </c>
      <c r="X13" s="1">
        <v>1</v>
      </c>
      <c r="Y13" s="1">
        <v>4274.39</v>
      </c>
      <c r="Z13" s="1">
        <v>57.3897</v>
      </c>
      <c r="AA13" s="1">
        <v>4</v>
      </c>
      <c r="AB13" s="1">
        <v>1</v>
      </c>
      <c r="AC13" s="1">
        <v>315.7634</v>
      </c>
      <c r="AD13" s="1">
        <v>0</v>
      </c>
      <c r="AE13" s="1">
        <v>0</v>
      </c>
      <c r="AF13" s="1">
        <v>59</v>
      </c>
      <c r="AG13" s="1">
        <v>488.3069</v>
      </c>
      <c r="AH13" s="1">
        <v>45</v>
      </c>
      <c r="AI13" s="1">
        <v>25.5714</v>
      </c>
      <c r="AJ13" s="1"/>
      <c r="AK13" s="1">
        <v>0</v>
      </c>
    </row>
    <row r="14" s="1" customFormat="1" spans="1:37">
      <c r="A14" s="1">
        <f t="shared" si="0"/>
        <v>100012</v>
      </c>
      <c r="B14" s="1">
        <f t="shared" si="1"/>
        <v>300012</v>
      </c>
      <c r="C14" s="1">
        <v>20250616</v>
      </c>
      <c r="D14" s="2">
        <v>45824.4916087963</v>
      </c>
      <c r="E14" s="1">
        <v>60</v>
      </c>
      <c r="F14" s="1">
        <v>-60</v>
      </c>
      <c r="G14" s="1">
        <v>52605.93</v>
      </c>
      <c r="H14" s="1">
        <v>544033678</v>
      </c>
      <c r="I14" s="1" t="s">
        <v>37</v>
      </c>
      <c r="J14" s="1" t="s">
        <v>38</v>
      </c>
      <c r="K14" s="1" t="s">
        <v>39</v>
      </c>
      <c r="L14" s="1"/>
      <c r="M14" s="1">
        <v>0</v>
      </c>
      <c r="N14" s="1">
        <v>1</v>
      </c>
      <c r="O14" s="1">
        <v>0</v>
      </c>
      <c r="P14" s="1">
        <v>2</v>
      </c>
      <c r="Q14" s="1">
        <v>0</v>
      </c>
      <c r="R14" s="1">
        <v>1</v>
      </c>
      <c r="S14" s="1">
        <v>6</v>
      </c>
      <c r="T14" s="1"/>
      <c r="U14" s="1"/>
      <c r="V14" s="1">
        <v>0</v>
      </c>
      <c r="W14" s="1">
        <v>3</v>
      </c>
      <c r="X14" s="1"/>
      <c r="Y14" s="1">
        <v>3930.41</v>
      </c>
      <c r="Z14" s="1"/>
      <c r="AA14" s="1">
        <v>5</v>
      </c>
      <c r="AB14" s="1"/>
      <c r="AC14" s="1"/>
      <c r="AD14" s="1">
        <v>0</v>
      </c>
      <c r="AE14" s="1">
        <v>1</v>
      </c>
      <c r="AF14" s="1">
        <v>127</v>
      </c>
      <c r="AG14" s="1">
        <v>35.5739</v>
      </c>
      <c r="AH14" s="1">
        <v>38</v>
      </c>
      <c r="AI14" s="1">
        <v>175</v>
      </c>
      <c r="AJ14" s="1"/>
      <c r="AK14" s="1">
        <v>0</v>
      </c>
    </row>
    <row r="15" s="1" customFormat="1" spans="1:37">
      <c r="A15" s="1">
        <f t="shared" si="0"/>
        <v>100013</v>
      </c>
      <c r="B15" s="1">
        <f t="shared" si="1"/>
        <v>300013</v>
      </c>
      <c r="C15" s="1">
        <v>20250207</v>
      </c>
      <c r="D15" s="2">
        <v>45695.7900231481</v>
      </c>
      <c r="E15" s="1">
        <v>46352.21</v>
      </c>
      <c r="F15" s="1">
        <v>-46352.21</v>
      </c>
      <c r="G15" s="1">
        <v>5065.67</v>
      </c>
      <c r="H15" s="1">
        <v>3.105017848e+19</v>
      </c>
      <c r="I15" s="1" t="s">
        <v>37</v>
      </c>
      <c r="J15" s="1" t="s">
        <v>42</v>
      </c>
      <c r="K15" s="1" t="s">
        <v>43</v>
      </c>
      <c r="L15" s="1"/>
      <c r="M15" s="1">
        <v>1</v>
      </c>
      <c r="N15" s="1">
        <v>1</v>
      </c>
      <c r="O15" s="1">
        <v>0</v>
      </c>
      <c r="P15" s="1">
        <v>2</v>
      </c>
      <c r="Q15" s="1">
        <v>51000</v>
      </c>
      <c r="R15" s="1">
        <v>0</v>
      </c>
      <c r="S15" s="1">
        <v>5</v>
      </c>
      <c r="T15" s="1">
        <v>5</v>
      </c>
      <c r="U15" s="1">
        <v>0.9778</v>
      </c>
      <c r="V15" s="1">
        <v>0</v>
      </c>
      <c r="W15" s="1">
        <v>7</v>
      </c>
      <c r="X15" s="1">
        <v>2.75</v>
      </c>
      <c r="Y15" s="1">
        <v>50700.84</v>
      </c>
      <c r="Z15" s="1">
        <v>0.9748</v>
      </c>
      <c r="AA15" s="1">
        <v>4</v>
      </c>
      <c r="AB15" s="1">
        <v>2.3</v>
      </c>
      <c r="AC15" s="1">
        <v>1.0885</v>
      </c>
      <c r="AD15" s="1">
        <v>103652.21</v>
      </c>
      <c r="AE15" s="1">
        <v>2</v>
      </c>
      <c r="AF15" s="1">
        <v>5.1818</v>
      </c>
      <c r="AG15" s="1">
        <v>1.1874</v>
      </c>
      <c r="AH15" s="1">
        <v>29</v>
      </c>
      <c r="AI15" s="1">
        <v>6.4545</v>
      </c>
      <c r="AJ15" s="1"/>
      <c r="AK15" s="1">
        <v>1</v>
      </c>
    </row>
    <row r="16" s="1" customFormat="1" spans="1:37">
      <c r="A16" s="1">
        <f t="shared" si="0"/>
        <v>100014</v>
      </c>
      <c r="B16" s="1">
        <f t="shared" si="1"/>
        <v>300014</v>
      </c>
      <c r="C16" s="1">
        <v>20250217</v>
      </c>
      <c r="D16" s="2">
        <v>45705.999537037</v>
      </c>
      <c r="E16" s="1">
        <v>238</v>
      </c>
      <c r="F16" s="1">
        <v>-238</v>
      </c>
      <c r="G16" s="1">
        <v>925.88</v>
      </c>
      <c r="H16" s="1">
        <v>1684301127</v>
      </c>
      <c r="I16" s="1" t="s">
        <v>37</v>
      </c>
      <c r="J16" s="1" t="s">
        <v>38</v>
      </c>
      <c r="K16" s="1" t="s">
        <v>39</v>
      </c>
      <c r="L16" s="1"/>
      <c r="M16" s="1">
        <v>0</v>
      </c>
      <c r="N16" s="1">
        <v>1</v>
      </c>
      <c r="O16" s="1">
        <v>0</v>
      </c>
      <c r="P16" s="1">
        <v>2</v>
      </c>
      <c r="Q16" s="1">
        <v>1300</v>
      </c>
      <c r="R16" s="1">
        <v>1</v>
      </c>
      <c r="S16" s="1">
        <v>8</v>
      </c>
      <c r="T16" s="1">
        <v>8</v>
      </c>
      <c r="U16" s="1"/>
      <c r="V16" s="1">
        <v>616.1</v>
      </c>
      <c r="W16" s="1">
        <v>6</v>
      </c>
      <c r="X16" s="1">
        <v>1</v>
      </c>
      <c r="Y16" s="1">
        <v>2307.63</v>
      </c>
      <c r="Z16" s="1">
        <v>1.6541</v>
      </c>
      <c r="AA16" s="1">
        <v>4</v>
      </c>
      <c r="AB16" s="1">
        <v>1.25</v>
      </c>
      <c r="AC16" s="1">
        <v>1.4065</v>
      </c>
      <c r="AD16" s="1">
        <v>5300</v>
      </c>
      <c r="AE16" s="1">
        <v>1</v>
      </c>
      <c r="AF16" s="1">
        <v>4.7916</v>
      </c>
      <c r="AG16" s="1">
        <v>0.9936</v>
      </c>
      <c r="AH16" s="1">
        <v>54</v>
      </c>
      <c r="AI16" s="1">
        <v>5.2941</v>
      </c>
      <c r="AJ16" s="1"/>
      <c r="AK16" s="1">
        <v>0</v>
      </c>
    </row>
    <row r="17" s="1" customFormat="1" spans="1:37">
      <c r="A17" s="1">
        <f t="shared" si="0"/>
        <v>100015</v>
      </c>
      <c r="B17" s="1">
        <f t="shared" si="1"/>
        <v>300015</v>
      </c>
      <c r="C17" s="1">
        <v>20250203</v>
      </c>
      <c r="D17" s="2">
        <v>45691.5060185185</v>
      </c>
      <c r="E17" s="1">
        <v>84</v>
      </c>
      <c r="F17" s="1">
        <v>-84</v>
      </c>
      <c r="G17" s="1">
        <v>462.53</v>
      </c>
      <c r="H17" s="1">
        <v>2.08814181784449e+19</v>
      </c>
      <c r="I17" s="1" t="s">
        <v>37</v>
      </c>
      <c r="J17" s="1" t="s">
        <v>38</v>
      </c>
      <c r="K17" s="1" t="s">
        <v>39</v>
      </c>
      <c r="L17" s="1"/>
      <c r="M17" s="1">
        <v>0</v>
      </c>
      <c r="N17" s="1">
        <v>1</v>
      </c>
      <c r="O17" s="1">
        <v>0</v>
      </c>
      <c r="P17" s="1">
        <v>2</v>
      </c>
      <c r="Q17" s="1">
        <v>178</v>
      </c>
      <c r="R17" s="1">
        <v>0</v>
      </c>
      <c r="S17" s="1">
        <v>6</v>
      </c>
      <c r="T17" s="1">
        <v>6</v>
      </c>
      <c r="U17" s="1">
        <v>3.6011</v>
      </c>
      <c r="V17" s="1">
        <v>0</v>
      </c>
      <c r="W17" s="1">
        <v>1</v>
      </c>
      <c r="X17" s="1">
        <v>3</v>
      </c>
      <c r="Y17" s="1">
        <v>4780.15</v>
      </c>
      <c r="Z17" s="1">
        <v>26.8547</v>
      </c>
      <c r="AA17" s="1">
        <v>1</v>
      </c>
      <c r="AB17" s="1">
        <v>3.6666</v>
      </c>
      <c r="AC17" s="1">
        <v>176.2988</v>
      </c>
      <c r="AD17" s="1">
        <v>28500</v>
      </c>
      <c r="AE17" s="1">
        <v>1</v>
      </c>
      <c r="AF17" s="1">
        <v>3.75</v>
      </c>
      <c r="AG17" s="1">
        <v>7.7074</v>
      </c>
      <c r="AH17" s="1">
        <v>18</v>
      </c>
      <c r="AI17" s="1">
        <v>3.3571</v>
      </c>
      <c r="AJ17" s="1"/>
      <c r="AK17" s="1">
        <v>0</v>
      </c>
    </row>
    <row r="18" s="1" customFormat="1" spans="1:37">
      <c r="A18" s="1">
        <f t="shared" si="0"/>
        <v>100016</v>
      </c>
      <c r="B18" s="1">
        <f t="shared" si="1"/>
        <v>300016</v>
      </c>
      <c r="C18" s="1">
        <v>20250606</v>
      </c>
      <c r="D18" s="2">
        <v>45814.7985185185</v>
      </c>
      <c r="E18" s="1">
        <v>10000</v>
      </c>
      <c r="F18" s="1">
        <v>10000</v>
      </c>
      <c r="G18" s="1">
        <v>10759.38</v>
      </c>
      <c r="H18" s="1">
        <v>6.21226020020212e+18</v>
      </c>
      <c r="I18" s="1" t="s">
        <v>40</v>
      </c>
      <c r="J18" s="1" t="s">
        <v>44</v>
      </c>
      <c r="K18" s="1" t="s">
        <v>45</v>
      </c>
      <c r="L18" s="1">
        <v>20250623</v>
      </c>
      <c r="M18" s="1">
        <v>0</v>
      </c>
      <c r="N18" s="1">
        <v>1</v>
      </c>
      <c r="O18" s="1">
        <v>1</v>
      </c>
      <c r="P18" s="1">
        <v>2</v>
      </c>
      <c r="Q18" s="1">
        <v>21500</v>
      </c>
      <c r="R18" s="1">
        <v>0</v>
      </c>
      <c r="S18" s="1">
        <v>2</v>
      </c>
      <c r="T18" s="1">
        <v>1</v>
      </c>
      <c r="U18" s="1">
        <v>1</v>
      </c>
      <c r="V18" s="1">
        <v>0</v>
      </c>
      <c r="W18" s="1">
        <v>0</v>
      </c>
      <c r="X18" s="1">
        <v>1</v>
      </c>
      <c r="Y18" s="1">
        <v>21500</v>
      </c>
      <c r="Z18" s="1">
        <v>1</v>
      </c>
      <c r="AA18" s="1">
        <v>0</v>
      </c>
      <c r="AB18" s="1">
        <v>1</v>
      </c>
      <c r="AC18" s="1">
        <v>2.4457</v>
      </c>
      <c r="AD18" s="1">
        <v>91500</v>
      </c>
      <c r="AE18" s="1">
        <v>2</v>
      </c>
      <c r="AF18" s="1">
        <v>1</v>
      </c>
      <c r="AG18" s="1">
        <v>2.4457</v>
      </c>
      <c r="AH18" s="1">
        <v>4</v>
      </c>
      <c r="AI18" s="1">
        <v>1.3333</v>
      </c>
      <c r="AJ18" s="1"/>
      <c r="AK18" s="1">
        <v>0</v>
      </c>
    </row>
    <row r="19" s="1" customFormat="1" spans="1:37">
      <c r="A19" s="1">
        <f t="shared" si="0"/>
        <v>100017</v>
      </c>
      <c r="B19" s="1">
        <f t="shared" si="1"/>
        <v>300017</v>
      </c>
      <c r="C19" s="1">
        <v>20250127</v>
      </c>
      <c r="D19" s="2">
        <v>45684.4159837963</v>
      </c>
      <c r="E19" s="1">
        <v>10000</v>
      </c>
      <c r="F19" s="1">
        <v>-10000</v>
      </c>
      <c r="G19" s="1">
        <v>139860.85</v>
      </c>
      <c r="H19" s="1">
        <v>6.23668145000901e+18</v>
      </c>
      <c r="I19" s="1" t="s">
        <v>37</v>
      </c>
      <c r="J19" s="1" t="s">
        <v>42</v>
      </c>
      <c r="K19" s="1" t="s">
        <v>43</v>
      </c>
      <c r="L19" s="1"/>
      <c r="M19" s="1">
        <v>1</v>
      </c>
      <c r="N19" s="1">
        <v>1</v>
      </c>
      <c r="O19" s="1">
        <v>0</v>
      </c>
      <c r="P19" s="1">
        <v>2</v>
      </c>
      <c r="Q19" s="1">
        <v>31500</v>
      </c>
      <c r="R19" s="1">
        <v>0</v>
      </c>
      <c r="S19" s="1">
        <v>11</v>
      </c>
      <c r="T19" s="1">
        <v>5.5</v>
      </c>
      <c r="U19" s="1">
        <v>5.5906</v>
      </c>
      <c r="V19" s="1">
        <v>0</v>
      </c>
      <c r="W19" s="1">
        <v>2</v>
      </c>
      <c r="X19" s="1">
        <v>2</v>
      </c>
      <c r="Y19" s="1">
        <v>689246</v>
      </c>
      <c r="Z19" s="1">
        <v>0.9422</v>
      </c>
      <c r="AA19" s="1">
        <v>2</v>
      </c>
      <c r="AB19" s="1">
        <v>1.5714</v>
      </c>
      <c r="AC19" s="1">
        <v>1.0078</v>
      </c>
      <c r="AD19" s="1">
        <v>1939246</v>
      </c>
      <c r="AE19" s="1">
        <v>14</v>
      </c>
      <c r="AF19" s="1">
        <v>2.2857</v>
      </c>
      <c r="AG19" s="1">
        <v>1.3425</v>
      </c>
      <c r="AH19" s="1">
        <v>20</v>
      </c>
      <c r="AI19" s="1">
        <v>2</v>
      </c>
      <c r="AJ19" s="1"/>
      <c r="AK19" s="1">
        <v>0</v>
      </c>
    </row>
    <row r="20" s="1" customFormat="1" spans="1:37">
      <c r="A20" s="1">
        <f t="shared" si="0"/>
        <v>100018</v>
      </c>
      <c r="B20" s="1">
        <f t="shared" si="1"/>
        <v>300018</v>
      </c>
      <c r="C20" s="1">
        <v>20250308</v>
      </c>
      <c r="D20" s="2">
        <v>45724.1935069444</v>
      </c>
      <c r="E20" s="1">
        <v>0.01</v>
      </c>
      <c r="F20" s="1">
        <v>0.01</v>
      </c>
      <c r="G20" s="1">
        <v>500.04</v>
      </c>
      <c r="H20" s="1">
        <v>2.08882253117995e+19</v>
      </c>
      <c r="I20" s="1" t="s">
        <v>40</v>
      </c>
      <c r="J20" s="1" t="s">
        <v>38</v>
      </c>
      <c r="K20" s="1" t="s">
        <v>41</v>
      </c>
      <c r="L20" s="1">
        <v>20250314</v>
      </c>
      <c r="M20" s="1">
        <v>0</v>
      </c>
      <c r="N20" s="1">
        <v>1</v>
      </c>
      <c r="O20" s="1">
        <v>1</v>
      </c>
      <c r="P20" s="1">
        <v>2</v>
      </c>
      <c r="Q20" s="1">
        <v>11250.24</v>
      </c>
      <c r="R20" s="1">
        <v>7</v>
      </c>
      <c r="S20" s="1">
        <v>18</v>
      </c>
      <c r="T20" s="1">
        <v>1.125</v>
      </c>
      <c r="U20" s="1">
        <v>0.9822</v>
      </c>
      <c r="V20" s="1">
        <v>5500.15</v>
      </c>
      <c r="W20" s="1">
        <v>0</v>
      </c>
      <c r="X20" s="1">
        <v>0.9523</v>
      </c>
      <c r="Y20" s="1">
        <v>13150.77</v>
      </c>
      <c r="Z20" s="1">
        <v>0.9924</v>
      </c>
      <c r="AA20" s="1">
        <v>1</v>
      </c>
      <c r="AB20" s="1">
        <v>1.25</v>
      </c>
      <c r="AC20" s="1">
        <v>0.9955</v>
      </c>
      <c r="AD20" s="1">
        <v>6803.48</v>
      </c>
      <c r="AE20" s="1">
        <v>8</v>
      </c>
      <c r="AF20" s="1">
        <v>1.375</v>
      </c>
      <c r="AG20" s="1">
        <v>0.9955</v>
      </c>
      <c r="AH20" s="1">
        <v>16</v>
      </c>
      <c r="AI20" s="1">
        <v>1.875</v>
      </c>
      <c r="AJ20" s="1"/>
      <c r="AK20" s="1">
        <v>0</v>
      </c>
    </row>
    <row r="21" s="1" customFormat="1" spans="1:37">
      <c r="A21" s="1">
        <f t="shared" si="0"/>
        <v>100019</v>
      </c>
      <c r="B21" s="1">
        <f t="shared" si="1"/>
        <v>300019</v>
      </c>
      <c r="C21" s="1">
        <v>20250415</v>
      </c>
      <c r="D21" s="2">
        <v>45762.6964351852</v>
      </c>
      <c r="E21" s="1">
        <v>3</v>
      </c>
      <c r="F21" s="1">
        <v>-3</v>
      </c>
      <c r="G21" s="1">
        <v>0.27</v>
      </c>
      <c r="H21" s="1">
        <v>10506813427</v>
      </c>
      <c r="I21" s="1" t="s">
        <v>37</v>
      </c>
      <c r="J21" s="1" t="s">
        <v>38</v>
      </c>
      <c r="K21" s="1" t="s">
        <v>39</v>
      </c>
      <c r="L21" s="1">
        <v>20250516</v>
      </c>
      <c r="M21" s="1">
        <v>0</v>
      </c>
      <c r="N21" s="1">
        <v>1</v>
      </c>
      <c r="O21" s="1">
        <v>1</v>
      </c>
      <c r="P21" s="1">
        <v>2</v>
      </c>
      <c r="Q21" s="1">
        <v>0</v>
      </c>
      <c r="R21" s="1">
        <v>1</v>
      </c>
      <c r="S21" s="1">
        <v>1</v>
      </c>
      <c r="T21" s="1"/>
      <c r="U21" s="1"/>
      <c r="V21" s="1">
        <v>0</v>
      </c>
      <c r="W21" s="1">
        <v>0</v>
      </c>
      <c r="X21" s="1"/>
      <c r="Y21" s="1">
        <v>3</v>
      </c>
      <c r="Z21" s="1"/>
      <c r="AA21" s="1">
        <v>0</v>
      </c>
      <c r="AB21" s="1"/>
      <c r="AC21" s="1"/>
      <c r="AD21" s="1">
        <v>0</v>
      </c>
      <c r="AE21" s="1">
        <v>0</v>
      </c>
      <c r="AF21" s="1"/>
      <c r="AG21" s="1"/>
      <c r="AH21" s="1">
        <v>1</v>
      </c>
      <c r="AI21" s="1"/>
      <c r="AJ21" s="1"/>
      <c r="AK21" s="1">
        <v>0</v>
      </c>
    </row>
    <row r="22" s="1" customFormat="1" spans="1:37">
      <c r="A22" s="1">
        <f t="shared" si="0"/>
        <v>100020</v>
      </c>
      <c r="B22" s="1">
        <f t="shared" si="1"/>
        <v>300020</v>
      </c>
      <c r="C22" s="1">
        <v>20241210</v>
      </c>
      <c r="D22" s="2">
        <v>45636.7240972222</v>
      </c>
      <c r="E22" s="1">
        <v>10</v>
      </c>
      <c r="F22" s="1">
        <v>-10</v>
      </c>
      <c r="G22" s="1">
        <v>20108.13</v>
      </c>
      <c r="H22" s="1">
        <v>1000039901</v>
      </c>
      <c r="I22" s="1" t="s">
        <v>37</v>
      </c>
      <c r="J22" s="1" t="s">
        <v>38</v>
      </c>
      <c r="K22" s="1" t="s">
        <v>39</v>
      </c>
      <c r="L22" s="1">
        <v>20250207</v>
      </c>
      <c r="M22" s="1">
        <v>0</v>
      </c>
      <c r="N22" s="1">
        <v>1</v>
      </c>
      <c r="O22" s="1">
        <v>1</v>
      </c>
      <c r="P22" s="1">
        <v>2</v>
      </c>
      <c r="Q22" s="1">
        <v>100</v>
      </c>
      <c r="R22" s="1">
        <v>2</v>
      </c>
      <c r="S22" s="1">
        <v>4</v>
      </c>
      <c r="T22" s="1">
        <v>4</v>
      </c>
      <c r="U22" s="1">
        <v>0.0999</v>
      </c>
      <c r="V22" s="1">
        <v>0</v>
      </c>
      <c r="W22" s="1">
        <v>3</v>
      </c>
      <c r="X22" s="1">
        <v>3</v>
      </c>
      <c r="Y22" s="1">
        <v>727.99</v>
      </c>
      <c r="Z22" s="1">
        <v>5.7367</v>
      </c>
      <c r="AA22" s="1">
        <v>1</v>
      </c>
      <c r="AB22" s="1">
        <v>3.1176</v>
      </c>
      <c r="AC22" s="1">
        <v>15.0386</v>
      </c>
      <c r="AD22" s="1">
        <v>0</v>
      </c>
      <c r="AE22" s="1">
        <v>0</v>
      </c>
      <c r="AF22" s="1">
        <v>6.3703</v>
      </c>
      <c r="AG22" s="1">
        <v>20.2449</v>
      </c>
      <c r="AH22" s="1">
        <v>51</v>
      </c>
      <c r="AI22" s="1">
        <v>5.0169</v>
      </c>
      <c r="AJ22" s="1"/>
      <c r="AK22" s="1">
        <v>0</v>
      </c>
    </row>
    <row r="23" s="1" customFormat="1" spans="1:37">
      <c r="A23" s="1">
        <f t="shared" si="0"/>
        <v>100021</v>
      </c>
      <c r="B23" s="1">
        <f t="shared" si="1"/>
        <v>300021</v>
      </c>
      <c r="C23" s="1">
        <v>20250531</v>
      </c>
      <c r="D23" s="2">
        <v>45808.7604050926</v>
      </c>
      <c r="E23" s="1">
        <v>1</v>
      </c>
      <c r="F23" s="1">
        <v>-1</v>
      </c>
      <c r="G23" s="1">
        <v>1</v>
      </c>
      <c r="H23" s="1">
        <v>6666665776859080</v>
      </c>
      <c r="I23" s="1" t="s">
        <v>37</v>
      </c>
      <c r="J23" s="1" t="s">
        <v>42</v>
      </c>
      <c r="K23" s="1" t="s">
        <v>43</v>
      </c>
      <c r="L23" s="1">
        <v>20250606</v>
      </c>
      <c r="M23" s="1">
        <v>1</v>
      </c>
      <c r="N23" s="1">
        <v>1</v>
      </c>
      <c r="O23" s="1">
        <v>1</v>
      </c>
      <c r="P23" s="1">
        <v>2</v>
      </c>
      <c r="Q23" s="1">
        <v>43005</v>
      </c>
      <c r="R23" s="1">
        <v>6</v>
      </c>
      <c r="S23" s="1">
        <v>3</v>
      </c>
      <c r="T23" s="1">
        <v>0.75</v>
      </c>
      <c r="U23" s="1">
        <v>0</v>
      </c>
      <c r="V23" s="1">
        <v>0</v>
      </c>
      <c r="W23" s="1">
        <v>0</v>
      </c>
      <c r="X23" s="1">
        <v>0.75</v>
      </c>
      <c r="Y23" s="1">
        <v>4</v>
      </c>
      <c r="Z23" s="1">
        <v>0</v>
      </c>
      <c r="AA23" s="1">
        <v>0</v>
      </c>
      <c r="AB23" s="1">
        <v>0.75</v>
      </c>
      <c r="AC23" s="1">
        <v>0</v>
      </c>
      <c r="AD23" s="1">
        <v>43002</v>
      </c>
      <c r="AE23" s="1">
        <v>3</v>
      </c>
      <c r="AF23" s="1">
        <v>0.75</v>
      </c>
      <c r="AG23" s="1">
        <v>0</v>
      </c>
      <c r="AH23" s="1">
        <v>4</v>
      </c>
      <c r="AI23" s="1">
        <v>0.75</v>
      </c>
      <c r="AJ23" s="1">
        <v>50000</v>
      </c>
      <c r="AK23" s="1">
        <v>0</v>
      </c>
    </row>
    <row r="24" s="1" customFormat="1" spans="1:37">
      <c r="A24" s="1">
        <f t="shared" si="0"/>
        <v>100022</v>
      </c>
      <c r="B24" s="1">
        <f t="shared" si="1"/>
        <v>300022</v>
      </c>
      <c r="C24" s="1">
        <v>20250526</v>
      </c>
      <c r="D24" s="2">
        <v>45803.693587963</v>
      </c>
      <c r="E24" s="1">
        <v>58.59</v>
      </c>
      <c r="F24" s="1">
        <v>-58.59</v>
      </c>
      <c r="G24" s="1">
        <v>756.06</v>
      </c>
      <c r="H24" s="1">
        <v>2.08814181784449e+19</v>
      </c>
      <c r="I24" s="1" t="s">
        <v>37</v>
      </c>
      <c r="J24" s="1" t="s">
        <v>38</v>
      </c>
      <c r="K24" s="1" t="s">
        <v>39</v>
      </c>
      <c r="L24" s="1"/>
      <c r="M24" s="1">
        <v>0</v>
      </c>
      <c r="N24" s="1">
        <v>1</v>
      </c>
      <c r="O24" s="1">
        <v>0</v>
      </c>
      <c r="P24" s="1">
        <v>2</v>
      </c>
      <c r="Q24" s="1">
        <v>1058.59</v>
      </c>
      <c r="R24" s="1">
        <v>4</v>
      </c>
      <c r="S24" s="1">
        <v>28</v>
      </c>
      <c r="T24" s="1">
        <v>14</v>
      </c>
      <c r="U24" s="1">
        <v>0.4419</v>
      </c>
      <c r="V24" s="1">
        <v>1863.25</v>
      </c>
      <c r="W24" s="1">
        <v>21</v>
      </c>
      <c r="X24" s="1">
        <v>11.25</v>
      </c>
      <c r="Y24" s="1">
        <v>8698.04</v>
      </c>
      <c r="Z24" s="1">
        <v>2.4776</v>
      </c>
      <c r="AA24" s="1">
        <v>16</v>
      </c>
      <c r="AB24" s="1">
        <v>7.75</v>
      </c>
      <c r="AC24" s="1">
        <v>1.0477</v>
      </c>
      <c r="AD24" s="1">
        <v>23237.92</v>
      </c>
      <c r="AE24" s="1">
        <v>8</v>
      </c>
      <c r="AF24" s="1">
        <v>7.1351</v>
      </c>
      <c r="AG24" s="1">
        <v>1.003</v>
      </c>
      <c r="AH24" s="1">
        <v>89</v>
      </c>
      <c r="AI24" s="1">
        <v>9.738</v>
      </c>
      <c r="AJ24" s="1"/>
      <c r="AK24" s="1">
        <v>0</v>
      </c>
    </row>
    <row r="25" s="1" customFormat="1" spans="1:37">
      <c r="A25" s="1">
        <f t="shared" si="0"/>
        <v>100023</v>
      </c>
      <c r="B25" s="1">
        <f t="shared" si="1"/>
        <v>300023</v>
      </c>
      <c r="C25" s="1">
        <v>20241204</v>
      </c>
      <c r="D25" s="2">
        <v>45630.058125</v>
      </c>
      <c r="E25" s="1">
        <v>100</v>
      </c>
      <c r="F25" s="1">
        <v>-100</v>
      </c>
      <c r="G25" s="1">
        <v>6.27</v>
      </c>
      <c r="H25" s="1">
        <v>0</v>
      </c>
      <c r="I25" s="1" t="s">
        <v>37</v>
      </c>
      <c r="J25" s="1" t="s">
        <v>44</v>
      </c>
      <c r="K25" s="1" t="s">
        <v>46</v>
      </c>
      <c r="L25" s="1">
        <v>20250108</v>
      </c>
      <c r="M25" s="1">
        <v>0</v>
      </c>
      <c r="N25" s="1">
        <v>1</v>
      </c>
      <c r="O25" s="1">
        <v>1</v>
      </c>
      <c r="P25" s="1">
        <v>2</v>
      </c>
      <c r="Q25" s="1">
        <v>28002</v>
      </c>
      <c r="R25" s="1">
        <v>6</v>
      </c>
      <c r="S25" s="1">
        <v>14</v>
      </c>
      <c r="T25" s="1">
        <v>3.5</v>
      </c>
      <c r="U25" s="1">
        <v>0.9963</v>
      </c>
      <c r="V25" s="1">
        <v>55923</v>
      </c>
      <c r="W25" s="1">
        <v>0</v>
      </c>
      <c r="X25" s="1">
        <v>2.8</v>
      </c>
      <c r="Y25" s="1">
        <v>35405.55</v>
      </c>
      <c r="Z25" s="1">
        <v>1.0001</v>
      </c>
      <c r="AA25" s="1">
        <v>0</v>
      </c>
      <c r="AB25" s="1">
        <v>2.8</v>
      </c>
      <c r="AC25" s="1">
        <v>1.0001</v>
      </c>
      <c r="AD25" s="1">
        <v>25302</v>
      </c>
      <c r="AE25" s="1">
        <v>3</v>
      </c>
      <c r="AF25" s="1">
        <v>3.2</v>
      </c>
      <c r="AG25" s="1">
        <v>1.0001</v>
      </c>
      <c r="AH25" s="1">
        <v>8</v>
      </c>
      <c r="AI25" s="1">
        <v>3.2</v>
      </c>
      <c r="AJ25" s="1">
        <v>10000</v>
      </c>
      <c r="AK25" s="1">
        <v>0</v>
      </c>
    </row>
    <row r="26" s="1" customFormat="1" spans="1:37">
      <c r="A26" s="1">
        <f t="shared" si="0"/>
        <v>100024</v>
      </c>
      <c r="B26" s="1">
        <f t="shared" si="1"/>
        <v>300024</v>
      </c>
      <c r="C26" s="1">
        <v>20250110</v>
      </c>
      <c r="D26" s="2">
        <v>45667.3573842593</v>
      </c>
      <c r="E26" s="1">
        <v>11</v>
      </c>
      <c r="F26" s="1">
        <v>-11</v>
      </c>
      <c r="G26" s="1">
        <v>7019.12</v>
      </c>
      <c r="H26" s="1">
        <v>10998529026</v>
      </c>
      <c r="I26" s="1" t="s">
        <v>37</v>
      </c>
      <c r="J26" s="1" t="s">
        <v>38</v>
      </c>
      <c r="K26" s="1" t="s">
        <v>39</v>
      </c>
      <c r="L26" s="1"/>
      <c r="M26" s="1">
        <v>0</v>
      </c>
      <c r="N26" s="1">
        <v>1</v>
      </c>
      <c r="O26" s="1">
        <v>0</v>
      </c>
      <c r="P26" s="1">
        <v>2</v>
      </c>
      <c r="Q26" s="1">
        <v>4000</v>
      </c>
      <c r="R26" s="1">
        <v>2</v>
      </c>
      <c r="S26" s="1">
        <v>16</v>
      </c>
      <c r="T26" s="1">
        <v>16</v>
      </c>
      <c r="U26" s="1"/>
      <c r="V26" s="1">
        <v>0</v>
      </c>
      <c r="W26" s="1">
        <v>10</v>
      </c>
      <c r="X26" s="1"/>
      <c r="Y26" s="1">
        <v>1058.67</v>
      </c>
      <c r="Z26" s="1">
        <v>0.2646</v>
      </c>
      <c r="AA26" s="1">
        <v>13</v>
      </c>
      <c r="AB26" s="1"/>
      <c r="AC26" s="1">
        <v>0.8192</v>
      </c>
      <c r="AD26" s="1">
        <v>0</v>
      </c>
      <c r="AE26" s="1">
        <v>0</v>
      </c>
      <c r="AF26" s="1">
        <v>39.75</v>
      </c>
      <c r="AG26" s="1">
        <v>0.9029</v>
      </c>
      <c r="AH26" s="1">
        <v>49</v>
      </c>
      <c r="AI26" s="1">
        <v>36.5</v>
      </c>
      <c r="AJ26" s="1"/>
      <c r="AK26" s="1">
        <v>0</v>
      </c>
    </row>
    <row r="27" s="1" customFormat="1" spans="1:37">
      <c r="A27" s="1">
        <f t="shared" si="0"/>
        <v>100025</v>
      </c>
      <c r="B27" s="1">
        <f t="shared" si="1"/>
        <v>300025</v>
      </c>
      <c r="C27" s="1">
        <v>20250417</v>
      </c>
      <c r="D27" s="2">
        <v>45764.4124537037</v>
      </c>
      <c r="E27" s="1">
        <v>5.65</v>
      </c>
      <c r="F27" s="1">
        <v>-5.65</v>
      </c>
      <c r="G27" s="1">
        <v>38778.75</v>
      </c>
      <c r="H27" s="1">
        <v>8.090190001843e+19</v>
      </c>
      <c r="I27" s="1" t="s">
        <v>37</v>
      </c>
      <c r="J27" s="1" t="s">
        <v>38</v>
      </c>
      <c r="K27" s="1" t="s">
        <v>39</v>
      </c>
      <c r="L27" s="1"/>
      <c r="M27" s="1">
        <v>0</v>
      </c>
      <c r="N27" s="1">
        <v>1</v>
      </c>
      <c r="O27" s="1">
        <v>0</v>
      </c>
      <c r="P27" s="1">
        <v>2</v>
      </c>
      <c r="Q27" s="1">
        <v>1.87</v>
      </c>
      <c r="R27" s="1">
        <v>3</v>
      </c>
      <c r="S27" s="1">
        <v>2</v>
      </c>
      <c r="T27" s="1">
        <v>1</v>
      </c>
      <c r="U27" s="1">
        <v>3.0213</v>
      </c>
      <c r="V27" s="1">
        <v>0</v>
      </c>
      <c r="W27" s="1">
        <v>3</v>
      </c>
      <c r="X27" s="1">
        <v>0.6</v>
      </c>
      <c r="Y27" s="1">
        <v>173.07</v>
      </c>
      <c r="Z27" s="1">
        <v>87.8527</v>
      </c>
      <c r="AA27" s="1">
        <v>2</v>
      </c>
      <c r="AB27" s="1">
        <v>0.75</v>
      </c>
      <c r="AC27" s="1">
        <v>0.1589</v>
      </c>
      <c r="AD27" s="1">
        <v>8000</v>
      </c>
      <c r="AE27" s="1">
        <v>3</v>
      </c>
      <c r="AF27" s="1">
        <v>0.7362</v>
      </c>
      <c r="AG27" s="1">
        <v>4.4632</v>
      </c>
      <c r="AH27" s="1">
        <v>53</v>
      </c>
      <c r="AI27" s="1">
        <v>0.6875</v>
      </c>
      <c r="AJ27" s="1"/>
      <c r="AK27" s="1">
        <v>0</v>
      </c>
    </row>
    <row r="28" s="1" customFormat="1" spans="1:37">
      <c r="A28" s="1">
        <f t="shared" si="0"/>
        <v>100026</v>
      </c>
      <c r="B28" s="1">
        <f t="shared" si="1"/>
        <v>300026</v>
      </c>
      <c r="C28" s="1">
        <v>20250305</v>
      </c>
      <c r="D28" s="2">
        <v>45721.8719328704</v>
      </c>
      <c r="E28" s="1">
        <v>195.55</v>
      </c>
      <c r="F28" s="1">
        <v>195.55</v>
      </c>
      <c r="G28" s="1">
        <v>643.77</v>
      </c>
      <c r="H28" s="1">
        <v>773690390</v>
      </c>
      <c r="I28" s="1" t="s">
        <v>40</v>
      </c>
      <c r="J28" s="1" t="s">
        <v>38</v>
      </c>
      <c r="K28" s="1" t="s">
        <v>41</v>
      </c>
      <c r="L28" s="1"/>
      <c r="M28" s="1">
        <v>0</v>
      </c>
      <c r="N28" s="1">
        <v>1</v>
      </c>
      <c r="O28" s="1">
        <v>0</v>
      </c>
      <c r="P28" s="1">
        <v>2</v>
      </c>
      <c r="Q28" s="1">
        <v>2499.58</v>
      </c>
      <c r="R28" s="1">
        <v>0</v>
      </c>
      <c r="S28" s="1">
        <v>22</v>
      </c>
      <c r="T28" s="1">
        <v>5.5</v>
      </c>
      <c r="U28" s="1">
        <v>1.6818</v>
      </c>
      <c r="V28" s="1">
        <v>970.28</v>
      </c>
      <c r="W28" s="1">
        <v>13</v>
      </c>
      <c r="X28" s="1">
        <v>5.8333</v>
      </c>
      <c r="Y28" s="1">
        <v>39821.22</v>
      </c>
      <c r="Z28" s="1">
        <v>10.6058</v>
      </c>
      <c r="AA28" s="1">
        <v>9</v>
      </c>
      <c r="AB28" s="1">
        <v>5</v>
      </c>
      <c r="AC28" s="1">
        <v>6.7962</v>
      </c>
      <c r="AD28" s="1">
        <v>0</v>
      </c>
      <c r="AE28" s="1">
        <v>0</v>
      </c>
      <c r="AF28" s="1">
        <v>12.2272</v>
      </c>
      <c r="AG28" s="1">
        <v>5.9173</v>
      </c>
      <c r="AH28" s="1">
        <v>58</v>
      </c>
      <c r="AI28" s="1">
        <v>11.8</v>
      </c>
      <c r="AJ28" s="1"/>
      <c r="AK28" s="1">
        <v>0</v>
      </c>
    </row>
    <row r="29" s="1" customFormat="1" spans="1:37">
      <c r="A29" s="1">
        <f t="shared" si="0"/>
        <v>100027</v>
      </c>
      <c r="B29" s="1">
        <f t="shared" si="1"/>
        <v>300027</v>
      </c>
      <c r="C29" s="1">
        <v>20250217</v>
      </c>
      <c r="D29" s="2">
        <v>45705.4606712963</v>
      </c>
      <c r="E29" s="1">
        <v>100</v>
      </c>
      <c r="F29" s="1">
        <v>-100</v>
      </c>
      <c r="G29" s="1">
        <v>0</v>
      </c>
      <c r="H29" s="1">
        <v>432396624</v>
      </c>
      <c r="I29" s="1" t="s">
        <v>37</v>
      </c>
      <c r="J29" s="1" t="s">
        <v>38</v>
      </c>
      <c r="K29" s="1" t="s">
        <v>39</v>
      </c>
      <c r="L29" s="1">
        <v>20250226</v>
      </c>
      <c r="M29" s="1">
        <v>0</v>
      </c>
      <c r="N29" s="1">
        <v>1</v>
      </c>
      <c r="O29" s="1">
        <v>1</v>
      </c>
      <c r="P29" s="1">
        <v>2</v>
      </c>
      <c r="Q29" s="1">
        <v>3000</v>
      </c>
      <c r="R29" s="1">
        <v>0</v>
      </c>
      <c r="S29" s="1">
        <v>11</v>
      </c>
      <c r="T29" s="1">
        <v>1.1</v>
      </c>
      <c r="U29" s="1">
        <v>1</v>
      </c>
      <c r="V29" s="1">
        <v>600</v>
      </c>
      <c r="W29" s="1">
        <v>2</v>
      </c>
      <c r="X29" s="1">
        <v>1.25</v>
      </c>
      <c r="Y29" s="1">
        <v>8369.99</v>
      </c>
      <c r="Z29" s="1">
        <v>1</v>
      </c>
      <c r="AA29" s="1">
        <v>3</v>
      </c>
      <c r="AB29" s="1">
        <v>1.4285</v>
      </c>
      <c r="AC29" s="1">
        <v>1</v>
      </c>
      <c r="AD29" s="1">
        <v>0</v>
      </c>
      <c r="AE29" s="1">
        <v>0</v>
      </c>
      <c r="AF29" s="1">
        <v>1.913</v>
      </c>
      <c r="AG29" s="1">
        <v>1</v>
      </c>
      <c r="AH29" s="1">
        <v>31</v>
      </c>
      <c r="AI29" s="1">
        <v>1.94</v>
      </c>
      <c r="AJ29" s="1">
        <v>10000</v>
      </c>
      <c r="AK29" s="1">
        <v>0</v>
      </c>
    </row>
    <row r="30" s="1" customFormat="1" spans="1:37">
      <c r="A30" s="1">
        <f t="shared" si="0"/>
        <v>100028</v>
      </c>
      <c r="B30" s="1">
        <f t="shared" si="1"/>
        <v>300028</v>
      </c>
      <c r="C30" s="1">
        <v>20250515</v>
      </c>
      <c r="D30" s="2">
        <v>45792.4409027778</v>
      </c>
      <c r="E30" s="1">
        <v>19.2</v>
      </c>
      <c r="F30" s="1">
        <v>-19.2</v>
      </c>
      <c r="G30" s="1">
        <v>108.68</v>
      </c>
      <c r="H30" s="1">
        <v>2.08873111333595e+19</v>
      </c>
      <c r="I30" s="1" t="s">
        <v>37</v>
      </c>
      <c r="J30" s="1" t="s">
        <v>38</v>
      </c>
      <c r="K30" s="1" t="s">
        <v>39</v>
      </c>
      <c r="L30" s="1">
        <v>20250527</v>
      </c>
      <c r="M30" s="1">
        <v>0</v>
      </c>
      <c r="N30" s="1">
        <v>1</v>
      </c>
      <c r="O30" s="1">
        <v>1</v>
      </c>
      <c r="P30" s="1">
        <v>2</v>
      </c>
      <c r="Q30" s="1">
        <v>53940.53</v>
      </c>
      <c r="R30" s="1">
        <v>3</v>
      </c>
      <c r="S30" s="1">
        <v>48</v>
      </c>
      <c r="T30" s="1">
        <v>6.8571</v>
      </c>
      <c r="U30" s="1">
        <v>0.2259</v>
      </c>
      <c r="V30" s="1">
        <v>3474.84</v>
      </c>
      <c r="W30" s="1">
        <v>23</v>
      </c>
      <c r="X30" s="1">
        <v>6.0714</v>
      </c>
      <c r="Y30" s="1">
        <v>27265.43</v>
      </c>
      <c r="Z30" s="1">
        <v>0.4078</v>
      </c>
      <c r="AA30" s="1">
        <v>18</v>
      </c>
      <c r="AB30" s="1">
        <v>5.9607</v>
      </c>
      <c r="AC30" s="1">
        <v>0.7131</v>
      </c>
      <c r="AD30" s="1">
        <v>104777.31</v>
      </c>
      <c r="AE30" s="1">
        <v>9</v>
      </c>
      <c r="AF30" s="1">
        <v>12.2153</v>
      </c>
      <c r="AG30" s="1">
        <v>0.9062</v>
      </c>
      <c r="AH30" s="1">
        <v>77</v>
      </c>
      <c r="AI30" s="1">
        <v>12.9294</v>
      </c>
      <c r="AJ30" s="1"/>
      <c r="AK30" s="1">
        <v>0</v>
      </c>
    </row>
    <row r="31" s="1" customFormat="1" spans="1:37">
      <c r="A31" s="1">
        <f t="shared" si="0"/>
        <v>100029</v>
      </c>
      <c r="B31" s="1">
        <f t="shared" si="1"/>
        <v>300029</v>
      </c>
      <c r="C31" s="1">
        <v>20250307</v>
      </c>
      <c r="D31" s="2">
        <v>45723.3958796296</v>
      </c>
      <c r="E31" s="1">
        <v>1</v>
      </c>
      <c r="F31" s="1">
        <v>-1</v>
      </c>
      <c r="G31" s="1">
        <v>1022698.36</v>
      </c>
      <c r="H31" s="1">
        <v>2.08833108343032e+19</v>
      </c>
      <c r="I31" s="1" t="s">
        <v>37</v>
      </c>
      <c r="J31" s="1" t="s">
        <v>38</v>
      </c>
      <c r="K31" s="1" t="s">
        <v>39</v>
      </c>
      <c r="L31" s="1"/>
      <c r="M31" s="1">
        <v>0</v>
      </c>
      <c r="N31" s="1">
        <v>1</v>
      </c>
      <c r="O31" s="1">
        <v>0</v>
      </c>
      <c r="P31" s="1">
        <v>2</v>
      </c>
      <c r="Q31" s="1">
        <v>530063.31</v>
      </c>
      <c r="R31" s="1">
        <v>8</v>
      </c>
      <c r="S31" s="1">
        <v>9</v>
      </c>
      <c r="T31" s="1">
        <v>9</v>
      </c>
      <c r="U31" s="1">
        <v>0.0003</v>
      </c>
      <c r="V31" s="1">
        <v>0</v>
      </c>
      <c r="W31" s="1">
        <v>0</v>
      </c>
      <c r="X31" s="1">
        <v>6</v>
      </c>
      <c r="Y31" s="1">
        <v>298.64</v>
      </c>
      <c r="Z31" s="1">
        <v>0.0005</v>
      </c>
      <c r="AA31" s="1">
        <v>0</v>
      </c>
      <c r="AB31" s="1">
        <v>1</v>
      </c>
      <c r="AC31" s="1">
        <v>0.2486</v>
      </c>
      <c r="AD31" s="1">
        <v>10000</v>
      </c>
      <c r="AE31" s="1">
        <v>2</v>
      </c>
      <c r="AF31" s="1">
        <v>1.0714</v>
      </c>
      <c r="AG31" s="1">
        <v>0.2499</v>
      </c>
      <c r="AH31" s="1">
        <v>19</v>
      </c>
      <c r="AI31" s="1">
        <v>1.2352</v>
      </c>
      <c r="AJ31" s="1"/>
      <c r="AK31" s="1">
        <v>0</v>
      </c>
    </row>
    <row r="32" s="1" customFormat="1" spans="1:37">
      <c r="A32" s="1">
        <f t="shared" si="0"/>
        <v>100030</v>
      </c>
      <c r="B32" s="1">
        <f t="shared" si="1"/>
        <v>300030</v>
      </c>
      <c r="C32" s="1">
        <v>20241225</v>
      </c>
      <c r="D32" s="2">
        <v>45651.4865740741</v>
      </c>
      <c r="E32" s="1">
        <v>10</v>
      </c>
      <c r="F32" s="1">
        <v>-10</v>
      </c>
      <c r="G32" s="1">
        <v>12771.93</v>
      </c>
      <c r="H32" s="1">
        <v>2.08860207814751e+19</v>
      </c>
      <c r="I32" s="1" t="s">
        <v>37</v>
      </c>
      <c r="J32" s="1" t="s">
        <v>38</v>
      </c>
      <c r="K32" s="1" t="s">
        <v>39</v>
      </c>
      <c r="L32" s="1">
        <v>20250102</v>
      </c>
      <c r="M32" s="1">
        <v>0</v>
      </c>
      <c r="N32" s="1">
        <v>1</v>
      </c>
      <c r="O32" s="1">
        <v>1</v>
      </c>
      <c r="P32" s="1">
        <v>2</v>
      </c>
      <c r="Q32" s="1">
        <v>50100</v>
      </c>
      <c r="R32" s="1">
        <v>4</v>
      </c>
      <c r="S32" s="1">
        <v>18</v>
      </c>
      <c r="T32" s="1">
        <v>9</v>
      </c>
      <c r="U32" s="1">
        <v>0.4059</v>
      </c>
      <c r="V32" s="1">
        <v>0</v>
      </c>
      <c r="W32" s="1">
        <v>4</v>
      </c>
      <c r="X32" s="1">
        <v>3.2857</v>
      </c>
      <c r="Y32" s="1">
        <v>122408.54</v>
      </c>
      <c r="Z32" s="1">
        <v>0.4705</v>
      </c>
      <c r="AA32" s="1">
        <v>1</v>
      </c>
      <c r="AB32" s="1">
        <v>2.2941</v>
      </c>
      <c r="AC32" s="1">
        <v>0.626</v>
      </c>
      <c r="AD32" s="1">
        <v>461000</v>
      </c>
      <c r="AE32" s="1">
        <v>3</v>
      </c>
      <c r="AF32" s="1">
        <v>6.55</v>
      </c>
      <c r="AG32" s="1">
        <v>0.2548</v>
      </c>
      <c r="AH32" s="1">
        <v>56</v>
      </c>
      <c r="AI32" s="1">
        <v>8.05</v>
      </c>
      <c r="AJ32" s="1"/>
      <c r="AK32" s="1">
        <v>0</v>
      </c>
    </row>
    <row r="33" s="1" customFormat="1" spans="1:37">
      <c r="A33" s="1">
        <f t="shared" si="0"/>
        <v>100031</v>
      </c>
      <c r="B33" s="1">
        <f t="shared" si="1"/>
        <v>300031</v>
      </c>
      <c r="C33" s="1">
        <v>20241225</v>
      </c>
      <c r="D33" s="2">
        <v>45651.7198611111</v>
      </c>
      <c r="E33" s="1">
        <v>22</v>
      </c>
      <c r="F33" s="1">
        <v>-22</v>
      </c>
      <c r="G33" s="1">
        <v>5092.8</v>
      </c>
      <c r="H33" s="1">
        <v>1611864829</v>
      </c>
      <c r="I33" s="1" t="s">
        <v>37</v>
      </c>
      <c r="J33" s="1" t="s">
        <v>38</v>
      </c>
      <c r="K33" s="1" t="s">
        <v>39</v>
      </c>
      <c r="L33" s="1">
        <v>20250108</v>
      </c>
      <c r="M33" s="1">
        <v>0</v>
      </c>
      <c r="N33" s="1">
        <v>1</v>
      </c>
      <c r="O33" s="1">
        <v>1</v>
      </c>
      <c r="P33" s="1">
        <v>2</v>
      </c>
      <c r="Q33" s="1">
        <v>5515.54</v>
      </c>
      <c r="R33" s="1">
        <v>11</v>
      </c>
      <c r="S33" s="1">
        <v>30</v>
      </c>
      <c r="T33" s="1">
        <v>10</v>
      </c>
      <c r="U33" s="1">
        <v>3.4237</v>
      </c>
      <c r="V33" s="1">
        <v>0</v>
      </c>
      <c r="W33" s="1">
        <v>20</v>
      </c>
      <c r="X33" s="1">
        <v>3.2727</v>
      </c>
      <c r="Y33" s="1">
        <v>20614.41</v>
      </c>
      <c r="Z33" s="1">
        <v>0.8773</v>
      </c>
      <c r="AA33" s="1">
        <v>9</v>
      </c>
      <c r="AB33" s="1">
        <v>3.8</v>
      </c>
      <c r="AC33" s="1">
        <v>1.1466</v>
      </c>
      <c r="AD33" s="1">
        <v>16250</v>
      </c>
      <c r="AE33" s="1">
        <v>13</v>
      </c>
      <c r="AF33" s="1">
        <v>4.7777</v>
      </c>
      <c r="AG33" s="1">
        <v>0.9847</v>
      </c>
      <c r="AH33" s="1">
        <v>60</v>
      </c>
      <c r="AI33" s="1">
        <v>5.3076</v>
      </c>
      <c r="AJ33" s="1">
        <v>10000</v>
      </c>
      <c r="AK33" s="1">
        <v>0</v>
      </c>
    </row>
    <row r="34" s="1" customFormat="1" spans="1:37">
      <c r="A34" s="1">
        <f t="shared" si="0"/>
        <v>100032</v>
      </c>
      <c r="B34" s="1">
        <f t="shared" si="1"/>
        <v>300032</v>
      </c>
      <c r="C34" s="1">
        <v>20250108</v>
      </c>
      <c r="D34" s="2">
        <v>45665.5764814815</v>
      </c>
      <c r="E34" s="1">
        <v>50</v>
      </c>
      <c r="F34" s="1">
        <v>-50</v>
      </c>
      <c r="G34" s="1">
        <v>368.15</v>
      </c>
      <c r="H34" s="1">
        <v>7020240518531730</v>
      </c>
      <c r="I34" s="1" t="s">
        <v>37</v>
      </c>
      <c r="J34" s="1" t="s">
        <v>38</v>
      </c>
      <c r="K34" s="1" t="s">
        <v>39</v>
      </c>
      <c r="L34" s="1">
        <v>20250117</v>
      </c>
      <c r="M34" s="1">
        <v>0</v>
      </c>
      <c r="N34" s="1">
        <v>1</v>
      </c>
      <c r="O34" s="1">
        <v>1</v>
      </c>
      <c r="P34" s="1">
        <v>2</v>
      </c>
      <c r="Q34" s="1">
        <v>69551.24</v>
      </c>
      <c r="R34" s="1">
        <v>15</v>
      </c>
      <c r="S34" s="1">
        <v>100</v>
      </c>
      <c r="T34" s="1">
        <v>2</v>
      </c>
      <c r="U34" s="1">
        <v>0.6125</v>
      </c>
      <c r="V34" s="1">
        <v>1478.57</v>
      </c>
      <c r="W34" s="1">
        <v>22</v>
      </c>
      <c r="X34" s="1">
        <v>2.0266</v>
      </c>
      <c r="Y34" s="1">
        <v>77050.33</v>
      </c>
      <c r="Z34" s="1">
        <v>0.9516</v>
      </c>
      <c r="AA34" s="1">
        <v>6</v>
      </c>
      <c r="AB34" s="1">
        <v>1.9532</v>
      </c>
      <c r="AC34" s="1">
        <v>1.0613</v>
      </c>
      <c r="AD34" s="1">
        <v>42811.39</v>
      </c>
      <c r="AE34" s="1">
        <v>2</v>
      </c>
      <c r="AF34" s="1">
        <v>1.9175</v>
      </c>
      <c r="AG34" s="1">
        <v>1.1413</v>
      </c>
      <c r="AH34" s="1">
        <v>53</v>
      </c>
      <c r="AI34" s="1">
        <v>1.8758</v>
      </c>
      <c r="AJ34" s="1"/>
      <c r="AK34" s="1">
        <v>0</v>
      </c>
    </row>
    <row r="35" s="1" customFormat="1" spans="1:37">
      <c r="A35" s="1">
        <f t="shared" si="0"/>
        <v>100033</v>
      </c>
      <c r="B35" s="1">
        <f t="shared" si="1"/>
        <v>300033</v>
      </c>
      <c r="C35" s="1">
        <v>20250616</v>
      </c>
      <c r="D35" s="2">
        <v>45824.8220601852</v>
      </c>
      <c r="E35" s="1">
        <v>266</v>
      </c>
      <c r="F35" s="1">
        <v>-266</v>
      </c>
      <c r="G35" s="1">
        <v>64711.65</v>
      </c>
      <c r="H35" s="1">
        <v>1000050201</v>
      </c>
      <c r="I35" s="1" t="s">
        <v>37</v>
      </c>
      <c r="J35" s="1" t="s">
        <v>38</v>
      </c>
      <c r="K35" s="1" t="s">
        <v>39</v>
      </c>
      <c r="L35" s="1"/>
      <c r="M35" s="1">
        <v>0</v>
      </c>
      <c r="N35" s="1">
        <v>1</v>
      </c>
      <c r="O35" s="1">
        <v>0</v>
      </c>
      <c r="P35" s="1">
        <v>2</v>
      </c>
      <c r="Q35" s="1">
        <v>266</v>
      </c>
      <c r="R35" s="1">
        <v>0</v>
      </c>
      <c r="S35" s="1">
        <v>5</v>
      </c>
      <c r="T35" s="1">
        <v>5</v>
      </c>
      <c r="U35" s="1">
        <v>1</v>
      </c>
      <c r="V35" s="1">
        <v>0</v>
      </c>
      <c r="W35" s="1">
        <v>1</v>
      </c>
      <c r="X35" s="1">
        <v>1</v>
      </c>
      <c r="Y35" s="1">
        <v>1298.64</v>
      </c>
      <c r="Z35" s="1">
        <v>4.8821</v>
      </c>
      <c r="AA35" s="1">
        <v>0</v>
      </c>
      <c r="AB35" s="1">
        <v>0.6666</v>
      </c>
      <c r="AC35" s="1">
        <v>0.1707</v>
      </c>
      <c r="AD35" s="1">
        <v>52000</v>
      </c>
      <c r="AE35" s="1">
        <v>2</v>
      </c>
      <c r="AF35" s="1">
        <v>4</v>
      </c>
      <c r="AG35" s="1">
        <v>0.4693</v>
      </c>
      <c r="AH35" s="1">
        <v>8</v>
      </c>
      <c r="AI35" s="1">
        <v>5.3333</v>
      </c>
      <c r="AJ35" s="1"/>
      <c r="AK35" s="1">
        <v>0</v>
      </c>
    </row>
    <row r="36" s="1" customFormat="1" spans="1:37">
      <c r="A36" s="1">
        <f t="shared" si="0"/>
        <v>100034</v>
      </c>
      <c r="B36" s="1">
        <f t="shared" si="1"/>
        <v>300034</v>
      </c>
      <c r="C36" s="1">
        <v>20250413</v>
      </c>
      <c r="D36" s="2">
        <v>45760.3988888889</v>
      </c>
      <c r="E36" s="1">
        <v>35.8</v>
      </c>
      <c r="F36" s="1">
        <v>-35.8</v>
      </c>
      <c r="G36" s="1">
        <v>766.67</v>
      </c>
      <c r="H36" s="1">
        <v>747110936</v>
      </c>
      <c r="I36" s="1" t="s">
        <v>37</v>
      </c>
      <c r="J36" s="1" t="s">
        <v>38</v>
      </c>
      <c r="K36" s="1" t="s">
        <v>39</v>
      </c>
      <c r="L36" s="1"/>
      <c r="M36" s="1">
        <v>0</v>
      </c>
      <c r="N36" s="1">
        <v>1</v>
      </c>
      <c r="O36" s="1">
        <v>0</v>
      </c>
      <c r="P36" s="1">
        <v>2</v>
      </c>
      <c r="Q36" s="1">
        <v>0</v>
      </c>
      <c r="R36" s="1">
        <v>0</v>
      </c>
      <c r="S36" s="1">
        <v>5</v>
      </c>
      <c r="T36" s="1"/>
      <c r="U36" s="1"/>
      <c r="V36" s="1">
        <v>0</v>
      </c>
      <c r="W36" s="1">
        <v>3</v>
      </c>
      <c r="X36" s="1"/>
      <c r="Y36" s="1">
        <v>304.3</v>
      </c>
      <c r="Z36" s="1"/>
      <c r="AA36" s="1">
        <v>2</v>
      </c>
      <c r="AB36" s="1"/>
      <c r="AC36" s="1"/>
      <c r="AD36" s="1">
        <v>0</v>
      </c>
      <c r="AE36" s="1">
        <v>0</v>
      </c>
      <c r="AF36" s="1">
        <v>38</v>
      </c>
      <c r="AG36" s="1">
        <v>138.7649</v>
      </c>
      <c r="AH36" s="1">
        <v>25</v>
      </c>
      <c r="AI36" s="1">
        <v>42</v>
      </c>
      <c r="AJ36" s="1"/>
      <c r="AK36" s="1">
        <v>0</v>
      </c>
    </row>
    <row r="37" s="1" customFormat="1" spans="1:37">
      <c r="A37" s="1">
        <f t="shared" si="0"/>
        <v>100035</v>
      </c>
      <c r="B37" s="1">
        <f t="shared" si="1"/>
        <v>300035</v>
      </c>
      <c r="C37" s="1">
        <v>20250103</v>
      </c>
      <c r="D37" s="2">
        <v>45660.5975578704</v>
      </c>
      <c r="E37" s="1">
        <v>64.98</v>
      </c>
      <c r="F37" s="1">
        <v>-64.98</v>
      </c>
      <c r="G37" s="1">
        <v>8765.79</v>
      </c>
      <c r="H37" s="1">
        <v>1500592921</v>
      </c>
      <c r="I37" s="1" t="s">
        <v>37</v>
      </c>
      <c r="J37" s="1" t="s">
        <v>38</v>
      </c>
      <c r="K37" s="1" t="s">
        <v>39</v>
      </c>
      <c r="L37" s="1"/>
      <c r="M37" s="1">
        <v>0</v>
      </c>
      <c r="N37" s="1">
        <v>1</v>
      </c>
      <c r="O37" s="1">
        <v>0</v>
      </c>
      <c r="P37" s="1">
        <v>2</v>
      </c>
      <c r="Q37" s="1">
        <v>0</v>
      </c>
      <c r="R37" s="1">
        <v>1</v>
      </c>
      <c r="S37" s="1">
        <v>3</v>
      </c>
      <c r="T37" s="1"/>
      <c r="U37" s="1"/>
      <c r="V37" s="1">
        <v>0</v>
      </c>
      <c r="W37" s="1">
        <v>2</v>
      </c>
      <c r="X37" s="1"/>
      <c r="Y37" s="1">
        <v>226.87</v>
      </c>
      <c r="Z37" s="1"/>
      <c r="AA37" s="1">
        <v>2</v>
      </c>
      <c r="AB37" s="1"/>
      <c r="AC37" s="1"/>
      <c r="AD37" s="1">
        <v>0</v>
      </c>
      <c r="AE37" s="1">
        <v>0</v>
      </c>
      <c r="AF37" s="1">
        <v>55</v>
      </c>
      <c r="AG37" s="1">
        <v>5.5335</v>
      </c>
      <c r="AH37" s="1">
        <v>24</v>
      </c>
      <c r="AI37" s="1">
        <v>44</v>
      </c>
      <c r="AJ37" s="1"/>
      <c r="AK37" s="1">
        <v>0</v>
      </c>
    </row>
    <row r="38" s="1" customFormat="1" spans="1:37">
      <c r="A38" s="1">
        <f t="shared" si="0"/>
        <v>100036</v>
      </c>
      <c r="B38" s="1">
        <f t="shared" si="1"/>
        <v>300036</v>
      </c>
      <c r="C38" s="1">
        <v>20250215</v>
      </c>
      <c r="D38" s="2">
        <v>45703.2873032407</v>
      </c>
      <c r="E38" s="1">
        <v>69.9</v>
      </c>
      <c r="F38" s="1">
        <v>-69.9</v>
      </c>
      <c r="G38" s="1">
        <v>321.23</v>
      </c>
      <c r="H38" s="1">
        <v>7020241016263860</v>
      </c>
      <c r="I38" s="1" t="s">
        <v>37</v>
      </c>
      <c r="J38" s="1" t="s">
        <v>38</v>
      </c>
      <c r="K38" s="1" t="s">
        <v>39</v>
      </c>
      <c r="L38" s="1"/>
      <c r="M38" s="1">
        <v>0</v>
      </c>
      <c r="N38" s="1">
        <v>1</v>
      </c>
      <c r="O38" s="1">
        <v>0</v>
      </c>
      <c r="P38" s="1">
        <v>2</v>
      </c>
      <c r="Q38" s="1">
        <v>1594.49</v>
      </c>
      <c r="R38" s="1">
        <v>6</v>
      </c>
      <c r="S38" s="1">
        <v>32</v>
      </c>
      <c r="T38" s="1">
        <v>1.1428</v>
      </c>
      <c r="U38" s="1">
        <v>1.1904</v>
      </c>
      <c r="V38" s="1">
        <v>238.69</v>
      </c>
      <c r="W38" s="1">
        <v>14</v>
      </c>
      <c r="X38" s="1">
        <v>1.0983</v>
      </c>
      <c r="Y38" s="1">
        <v>4724.9</v>
      </c>
      <c r="Z38" s="1">
        <v>1.1377</v>
      </c>
      <c r="AA38" s="1">
        <v>1</v>
      </c>
      <c r="AB38" s="1">
        <v>1.1782</v>
      </c>
      <c r="AC38" s="1">
        <v>1.2873</v>
      </c>
      <c r="AD38" s="1">
        <v>0</v>
      </c>
      <c r="AE38" s="1">
        <v>0</v>
      </c>
      <c r="AF38" s="1">
        <v>1.1992</v>
      </c>
      <c r="AG38" s="1">
        <v>1.3838</v>
      </c>
      <c r="AH38" s="1">
        <v>43</v>
      </c>
      <c r="AI38" s="1">
        <v>1.2065</v>
      </c>
      <c r="AJ38" s="1"/>
      <c r="AK38" s="1">
        <v>0</v>
      </c>
    </row>
    <row r="39" s="1" customFormat="1" spans="1:37">
      <c r="A39" s="1">
        <f t="shared" si="0"/>
        <v>100037</v>
      </c>
      <c r="B39" s="1">
        <f t="shared" si="1"/>
        <v>300037</v>
      </c>
      <c r="C39" s="1">
        <v>20250519</v>
      </c>
      <c r="D39" s="2">
        <v>45796.7280787037</v>
      </c>
      <c r="E39" s="1">
        <v>746.5</v>
      </c>
      <c r="F39" s="1">
        <v>746.5</v>
      </c>
      <c r="G39" s="1">
        <v>803.45</v>
      </c>
      <c r="H39" s="1">
        <v>12100630767</v>
      </c>
      <c r="I39" s="1" t="s">
        <v>40</v>
      </c>
      <c r="J39" s="1" t="s">
        <v>38</v>
      </c>
      <c r="K39" s="1" t="s">
        <v>41</v>
      </c>
      <c r="L39" s="1"/>
      <c r="M39" s="1">
        <v>0</v>
      </c>
      <c r="N39" s="1">
        <v>1</v>
      </c>
      <c r="O39" s="1">
        <v>0</v>
      </c>
      <c r="P39" s="1">
        <v>2</v>
      </c>
      <c r="Q39" s="1">
        <v>746.5</v>
      </c>
      <c r="R39" s="1">
        <v>0</v>
      </c>
      <c r="S39" s="1">
        <v>1</v>
      </c>
      <c r="T39" s="1">
        <v>1</v>
      </c>
      <c r="U39" s="1"/>
      <c r="V39" s="1">
        <v>0</v>
      </c>
      <c r="W39" s="1">
        <v>1</v>
      </c>
      <c r="X39" s="1"/>
      <c r="Y39" s="1">
        <v>5300</v>
      </c>
      <c r="Z39" s="1">
        <v>7.0997</v>
      </c>
      <c r="AA39" s="1">
        <v>2</v>
      </c>
      <c r="AB39" s="1"/>
      <c r="AC39" s="1">
        <v>3.5498</v>
      </c>
      <c r="AD39" s="1">
        <v>0</v>
      </c>
      <c r="AE39" s="1">
        <v>0</v>
      </c>
      <c r="AF39" s="1">
        <v>0.6666</v>
      </c>
      <c r="AG39" s="1">
        <v>3.9852</v>
      </c>
      <c r="AH39" s="1">
        <v>5</v>
      </c>
      <c r="AI39" s="1">
        <v>1</v>
      </c>
      <c r="AJ39" s="1"/>
      <c r="AK39" s="1">
        <v>0</v>
      </c>
    </row>
    <row r="40" s="1" customFormat="1" spans="1:37">
      <c r="A40" s="1">
        <f t="shared" si="0"/>
        <v>100038</v>
      </c>
      <c r="B40" s="1">
        <f t="shared" si="1"/>
        <v>300038</v>
      </c>
      <c r="C40" s="1">
        <v>20250226</v>
      </c>
      <c r="D40" s="2">
        <v>45714.1051736111</v>
      </c>
      <c r="E40" s="1">
        <v>916</v>
      </c>
      <c r="F40" s="1">
        <v>916</v>
      </c>
      <c r="G40" s="1">
        <v>1411</v>
      </c>
      <c r="H40" s="1">
        <v>2.08894114862613e+19</v>
      </c>
      <c r="I40" s="1" t="s">
        <v>40</v>
      </c>
      <c r="J40" s="1" t="s">
        <v>38</v>
      </c>
      <c r="K40" s="1" t="s">
        <v>41</v>
      </c>
      <c r="L40" s="1">
        <v>20250228</v>
      </c>
      <c r="M40" s="1">
        <v>0</v>
      </c>
      <c r="N40" s="1">
        <v>1</v>
      </c>
      <c r="O40" s="1">
        <v>1</v>
      </c>
      <c r="P40" s="1">
        <v>2</v>
      </c>
      <c r="Q40" s="1">
        <v>3033</v>
      </c>
      <c r="R40" s="1">
        <v>2</v>
      </c>
      <c r="S40" s="1">
        <v>14</v>
      </c>
      <c r="T40" s="1">
        <v>4.6666</v>
      </c>
      <c r="U40" s="1">
        <v>0.9238</v>
      </c>
      <c r="V40" s="1">
        <v>1216</v>
      </c>
      <c r="W40" s="1">
        <v>3</v>
      </c>
      <c r="X40" s="1">
        <v>3</v>
      </c>
      <c r="Y40" s="1">
        <v>13973.9</v>
      </c>
      <c r="Z40" s="1">
        <v>1.944</v>
      </c>
      <c r="AA40" s="1">
        <v>0</v>
      </c>
      <c r="AB40" s="1">
        <v>2.1111</v>
      </c>
      <c r="AC40" s="1">
        <v>0.9916</v>
      </c>
      <c r="AD40" s="1">
        <v>30427.01</v>
      </c>
      <c r="AE40" s="1">
        <v>3</v>
      </c>
      <c r="AF40" s="1">
        <v>2.8888</v>
      </c>
      <c r="AG40" s="1">
        <v>0.9916</v>
      </c>
      <c r="AH40" s="1">
        <v>15</v>
      </c>
      <c r="AI40" s="1">
        <v>2.8888</v>
      </c>
      <c r="AJ40" s="1"/>
      <c r="AK40" s="1">
        <v>0</v>
      </c>
    </row>
    <row r="41" s="1" customFormat="1" spans="1:37">
      <c r="A41" s="1">
        <f t="shared" si="0"/>
        <v>100039</v>
      </c>
      <c r="B41" s="1">
        <f t="shared" si="1"/>
        <v>300039</v>
      </c>
      <c r="C41" s="1">
        <v>20250605</v>
      </c>
      <c r="D41" s="2">
        <v>45813.4978009259</v>
      </c>
      <c r="E41" s="1">
        <v>503</v>
      </c>
      <c r="F41" s="1">
        <v>-503</v>
      </c>
      <c r="G41" s="1">
        <v>2459.6</v>
      </c>
      <c r="H41" s="1">
        <v>281530613</v>
      </c>
      <c r="I41" s="1" t="s">
        <v>37</v>
      </c>
      <c r="J41" s="1" t="s">
        <v>38</v>
      </c>
      <c r="K41" s="1" t="s">
        <v>39</v>
      </c>
      <c r="L41" s="1"/>
      <c r="M41" s="1">
        <v>0</v>
      </c>
      <c r="N41" s="1">
        <v>1</v>
      </c>
      <c r="O41" s="1">
        <v>0</v>
      </c>
      <c r="P41" s="1">
        <v>2</v>
      </c>
      <c r="Q41" s="1">
        <v>843</v>
      </c>
      <c r="R41" s="1">
        <v>3</v>
      </c>
      <c r="S41" s="1">
        <v>27</v>
      </c>
      <c r="T41" s="1">
        <v>2.7</v>
      </c>
      <c r="U41" s="1">
        <v>3.1931</v>
      </c>
      <c r="V41" s="1">
        <v>138.8</v>
      </c>
      <c r="W41" s="1">
        <v>14</v>
      </c>
      <c r="X41" s="1">
        <v>2.75</v>
      </c>
      <c r="Y41" s="1">
        <v>3907.55</v>
      </c>
      <c r="Z41" s="1">
        <v>3.9759</v>
      </c>
      <c r="AA41" s="1">
        <v>14</v>
      </c>
      <c r="AB41" s="1">
        <v>3.8055</v>
      </c>
      <c r="AC41" s="1">
        <v>0.9912</v>
      </c>
      <c r="AD41" s="1">
        <v>23400</v>
      </c>
      <c r="AE41" s="1">
        <v>1</v>
      </c>
      <c r="AF41" s="1">
        <v>5.7894</v>
      </c>
      <c r="AG41" s="1">
        <v>1.0237</v>
      </c>
      <c r="AH41" s="1">
        <v>68</v>
      </c>
      <c r="AI41" s="1">
        <v>6.7285</v>
      </c>
      <c r="AJ41" s="1"/>
      <c r="AK41" s="1">
        <v>0</v>
      </c>
    </row>
    <row r="42" s="1" customFormat="1" spans="1:37">
      <c r="A42" s="1">
        <f t="shared" si="0"/>
        <v>100040</v>
      </c>
      <c r="B42" s="1">
        <f t="shared" si="1"/>
        <v>300040</v>
      </c>
      <c r="C42" s="1">
        <v>20250318</v>
      </c>
      <c r="D42" s="2">
        <v>45734.4474189815</v>
      </c>
      <c r="E42" s="1">
        <v>200</v>
      </c>
      <c r="F42" s="1">
        <v>-200</v>
      </c>
      <c r="G42" s="1">
        <v>2299.14</v>
      </c>
      <c r="H42" s="1">
        <v>2.08801151924995e+19</v>
      </c>
      <c r="I42" s="1" t="s">
        <v>37</v>
      </c>
      <c r="J42" s="1" t="s">
        <v>38</v>
      </c>
      <c r="K42" s="1" t="s">
        <v>39</v>
      </c>
      <c r="L42" s="1"/>
      <c r="M42" s="1">
        <v>0</v>
      </c>
      <c r="N42" s="1">
        <v>1</v>
      </c>
      <c r="O42" s="1">
        <v>0</v>
      </c>
      <c r="P42" s="1">
        <v>2</v>
      </c>
      <c r="Q42" s="1">
        <v>0.18</v>
      </c>
      <c r="R42" s="1">
        <v>3</v>
      </c>
      <c r="S42" s="1">
        <v>19</v>
      </c>
      <c r="T42" s="1">
        <v>9.5</v>
      </c>
      <c r="U42" s="1">
        <v>4878.7777</v>
      </c>
      <c r="V42" s="1">
        <v>176.6</v>
      </c>
      <c r="W42" s="1">
        <v>7</v>
      </c>
      <c r="X42" s="1">
        <v>3.25</v>
      </c>
      <c r="Y42" s="1">
        <v>4244.64</v>
      </c>
      <c r="Z42" s="1">
        <v>55.9683</v>
      </c>
      <c r="AA42" s="1">
        <v>9</v>
      </c>
      <c r="AB42" s="1">
        <v>4.8333</v>
      </c>
      <c r="AC42" s="1">
        <v>81.9713</v>
      </c>
      <c r="AD42" s="1">
        <v>0</v>
      </c>
      <c r="AE42" s="1">
        <v>0</v>
      </c>
      <c r="AF42" s="1">
        <v>11.2727</v>
      </c>
      <c r="AG42" s="1">
        <v>34.9325</v>
      </c>
      <c r="AH42" s="1">
        <v>37</v>
      </c>
      <c r="AI42" s="1">
        <v>13.9285</v>
      </c>
      <c r="AJ42" s="1"/>
      <c r="AK42" s="1">
        <v>0</v>
      </c>
    </row>
    <row r="43" s="1" customFormat="1" spans="1:37">
      <c r="A43" s="1">
        <f t="shared" si="0"/>
        <v>100041</v>
      </c>
      <c r="B43" s="1">
        <f t="shared" si="1"/>
        <v>300041</v>
      </c>
      <c r="C43" s="1">
        <v>20250222</v>
      </c>
      <c r="D43" s="2">
        <v>45710.5555671296</v>
      </c>
      <c r="E43" s="1">
        <v>5000</v>
      </c>
      <c r="F43" s="1">
        <v>5000</v>
      </c>
      <c r="G43" s="1">
        <v>150244.89</v>
      </c>
      <c r="H43" s="1">
        <v>6.21700001011139e+18</v>
      </c>
      <c r="I43" s="1" t="s">
        <v>40</v>
      </c>
      <c r="J43" s="1" t="s">
        <v>47</v>
      </c>
      <c r="K43" s="1" t="s">
        <v>43</v>
      </c>
      <c r="L43" s="1">
        <v>20250228</v>
      </c>
      <c r="M43" s="1">
        <v>1</v>
      </c>
      <c r="N43" s="1">
        <v>1</v>
      </c>
      <c r="O43" s="1">
        <v>1</v>
      </c>
      <c r="P43" s="1">
        <v>2</v>
      </c>
      <c r="Q43" s="1">
        <v>390200</v>
      </c>
      <c r="R43" s="1">
        <v>0</v>
      </c>
      <c r="S43" s="1">
        <v>18</v>
      </c>
      <c r="T43" s="1">
        <v>2.5714</v>
      </c>
      <c r="U43" s="1">
        <v>0.7117</v>
      </c>
      <c r="V43" s="1">
        <v>1000</v>
      </c>
      <c r="W43" s="1">
        <v>0</v>
      </c>
      <c r="X43" s="1">
        <v>2.125</v>
      </c>
      <c r="Y43" s="1">
        <v>281943.51</v>
      </c>
      <c r="Z43" s="1">
        <v>0.7188</v>
      </c>
      <c r="AA43" s="1">
        <v>0</v>
      </c>
      <c r="AB43" s="1">
        <v>2.125</v>
      </c>
      <c r="AC43" s="1">
        <v>0.7188</v>
      </c>
      <c r="AD43" s="1">
        <v>409390.4</v>
      </c>
      <c r="AE43" s="1">
        <v>8</v>
      </c>
      <c r="AF43" s="1">
        <v>2.5</v>
      </c>
      <c r="AG43" s="1">
        <v>0.7188</v>
      </c>
      <c r="AH43" s="1">
        <v>14</v>
      </c>
      <c r="AI43" s="1">
        <v>2.5</v>
      </c>
      <c r="AJ43" s="1"/>
      <c r="AK43" s="1">
        <v>1</v>
      </c>
    </row>
    <row r="44" s="1" customFormat="1" spans="1:37">
      <c r="A44" s="1">
        <f t="shared" si="0"/>
        <v>100042</v>
      </c>
      <c r="B44" s="1">
        <f t="shared" si="1"/>
        <v>300042</v>
      </c>
      <c r="C44" s="1">
        <v>20250117</v>
      </c>
      <c r="D44" s="2">
        <v>45674.4275347222</v>
      </c>
      <c r="E44" s="1">
        <v>1</v>
      </c>
      <c r="F44" s="1">
        <v>-1</v>
      </c>
      <c r="G44" s="1">
        <v>4063.61</v>
      </c>
      <c r="H44" s="1">
        <v>104310041110441</v>
      </c>
      <c r="I44" s="1" t="s">
        <v>37</v>
      </c>
      <c r="J44" s="1" t="s">
        <v>44</v>
      </c>
      <c r="K44" s="1" t="s">
        <v>48</v>
      </c>
      <c r="L44" s="1"/>
      <c r="M44" s="1">
        <v>0</v>
      </c>
      <c r="N44" s="1">
        <v>1</v>
      </c>
      <c r="O44" s="1">
        <v>0</v>
      </c>
      <c r="P44" s="1">
        <v>2</v>
      </c>
      <c r="Q44" s="1">
        <v>0</v>
      </c>
      <c r="R44" s="1">
        <v>4</v>
      </c>
      <c r="S44" s="1">
        <v>9</v>
      </c>
      <c r="T44" s="1"/>
      <c r="U44" s="1"/>
      <c r="V44" s="1">
        <v>0</v>
      </c>
      <c r="W44" s="1">
        <v>4</v>
      </c>
      <c r="X44" s="1"/>
      <c r="Y44" s="1">
        <v>20407.61</v>
      </c>
      <c r="Z44" s="1"/>
      <c r="AA44" s="1">
        <v>3</v>
      </c>
      <c r="AB44" s="1">
        <v>2</v>
      </c>
      <c r="AC44" s="1">
        <v>4.082</v>
      </c>
      <c r="AD44" s="1">
        <v>26133.54</v>
      </c>
      <c r="AE44" s="1">
        <v>2</v>
      </c>
      <c r="AF44" s="1">
        <v>12.2857</v>
      </c>
      <c r="AG44" s="1">
        <v>4.5458</v>
      </c>
      <c r="AH44" s="1">
        <v>51</v>
      </c>
      <c r="AI44" s="1">
        <v>16.125</v>
      </c>
      <c r="AJ44" s="1"/>
      <c r="AK44" s="1">
        <v>0</v>
      </c>
    </row>
    <row r="45" s="1" customFormat="1" spans="1:37">
      <c r="A45" s="1">
        <f t="shared" si="0"/>
        <v>100043</v>
      </c>
      <c r="B45" s="1">
        <f t="shared" si="1"/>
        <v>300043</v>
      </c>
      <c r="C45" s="1">
        <v>20250615</v>
      </c>
      <c r="D45" s="2">
        <v>45823.7793518519</v>
      </c>
      <c r="E45" s="1">
        <v>1000</v>
      </c>
      <c r="F45" s="1">
        <v>-1000</v>
      </c>
      <c r="G45" s="1">
        <v>3895</v>
      </c>
      <c r="H45" s="1">
        <v>1251965401</v>
      </c>
      <c r="I45" s="1" t="s">
        <v>37</v>
      </c>
      <c r="J45" s="1" t="s">
        <v>38</v>
      </c>
      <c r="K45" s="1" t="s">
        <v>39</v>
      </c>
      <c r="L45" s="1">
        <v>20250626</v>
      </c>
      <c r="M45" s="1">
        <v>0</v>
      </c>
      <c r="N45" s="1">
        <v>1</v>
      </c>
      <c r="O45" s="1">
        <v>1</v>
      </c>
      <c r="P45" s="1">
        <v>2</v>
      </c>
      <c r="Q45" s="1">
        <v>25515</v>
      </c>
      <c r="R45" s="1">
        <v>7</v>
      </c>
      <c r="S45" s="1">
        <v>25</v>
      </c>
      <c r="T45" s="1">
        <v>2.7777</v>
      </c>
      <c r="U45" s="1">
        <v>1.0002</v>
      </c>
      <c r="V45" s="1">
        <v>127</v>
      </c>
      <c r="W45" s="1">
        <v>2</v>
      </c>
      <c r="X45" s="1">
        <v>3.6923</v>
      </c>
      <c r="Y45" s="1">
        <v>30341.56</v>
      </c>
      <c r="Z45" s="1">
        <v>0.9998</v>
      </c>
      <c r="AA45" s="1">
        <v>5</v>
      </c>
      <c r="AB45" s="1">
        <v>3.2352</v>
      </c>
      <c r="AC45" s="1">
        <v>0.9998</v>
      </c>
      <c r="AD45" s="1">
        <v>49625.6</v>
      </c>
      <c r="AE45" s="1">
        <v>5</v>
      </c>
      <c r="AF45" s="1">
        <v>3.5</v>
      </c>
      <c r="AG45" s="1">
        <v>0.9998</v>
      </c>
      <c r="AH45" s="1">
        <v>38</v>
      </c>
      <c r="AI45" s="1">
        <v>3.5263</v>
      </c>
      <c r="AJ45" s="1">
        <v>5000</v>
      </c>
      <c r="AK45" s="1">
        <v>0</v>
      </c>
    </row>
    <row r="46" s="1" customFormat="1" spans="1:37">
      <c r="A46" s="1">
        <f t="shared" si="0"/>
        <v>100044</v>
      </c>
      <c r="B46" s="1">
        <f t="shared" si="1"/>
        <v>300044</v>
      </c>
      <c r="C46" s="1">
        <v>20250409</v>
      </c>
      <c r="D46" s="2">
        <v>45756.3807407407</v>
      </c>
      <c r="E46" s="1">
        <v>121</v>
      </c>
      <c r="F46" s="1">
        <v>-121</v>
      </c>
      <c r="G46" s="1">
        <v>365.29</v>
      </c>
      <c r="H46" s="1">
        <v>2088141203019490</v>
      </c>
      <c r="I46" s="1" t="s">
        <v>37</v>
      </c>
      <c r="J46" s="1" t="s">
        <v>38</v>
      </c>
      <c r="K46" s="1" t="s">
        <v>39</v>
      </c>
      <c r="L46" s="1"/>
      <c r="M46" s="1">
        <v>0</v>
      </c>
      <c r="N46" s="1">
        <v>1</v>
      </c>
      <c r="O46" s="1">
        <v>0</v>
      </c>
      <c r="P46" s="1">
        <v>2</v>
      </c>
      <c r="Q46" s="1">
        <v>0</v>
      </c>
      <c r="R46" s="1">
        <v>6</v>
      </c>
      <c r="S46" s="1">
        <v>8</v>
      </c>
      <c r="T46" s="1"/>
      <c r="U46" s="1"/>
      <c r="V46" s="1">
        <v>0</v>
      </c>
      <c r="W46" s="1">
        <v>1</v>
      </c>
      <c r="X46" s="1"/>
      <c r="Y46" s="1">
        <v>322.85</v>
      </c>
      <c r="Z46" s="1"/>
      <c r="AA46" s="1">
        <v>1</v>
      </c>
      <c r="AB46" s="1">
        <v>0.25</v>
      </c>
      <c r="AC46" s="1">
        <v>0.2357</v>
      </c>
      <c r="AD46" s="1">
        <v>0</v>
      </c>
      <c r="AE46" s="1">
        <v>0</v>
      </c>
      <c r="AF46" s="1">
        <v>3.5</v>
      </c>
      <c r="AG46" s="1">
        <v>0.4967</v>
      </c>
      <c r="AH46" s="1">
        <v>22</v>
      </c>
      <c r="AI46" s="1">
        <v>3.2</v>
      </c>
      <c r="AJ46" s="1"/>
      <c r="AK46" s="1">
        <v>0</v>
      </c>
    </row>
    <row r="47" s="1" customFormat="1" spans="1:37">
      <c r="A47" s="1">
        <f t="shared" si="0"/>
        <v>100045</v>
      </c>
      <c r="B47" s="1">
        <f t="shared" si="1"/>
        <v>300045</v>
      </c>
      <c r="C47" s="1">
        <v>20250122</v>
      </c>
      <c r="D47" s="2">
        <v>45679.9830324074</v>
      </c>
      <c r="E47" s="1">
        <v>87.8</v>
      </c>
      <c r="F47" s="1">
        <v>-87.8</v>
      </c>
      <c r="G47" s="1">
        <v>33851.62</v>
      </c>
      <c r="H47" s="1">
        <v>246494750</v>
      </c>
      <c r="I47" s="1" t="s">
        <v>37</v>
      </c>
      <c r="J47" s="1" t="s">
        <v>38</v>
      </c>
      <c r="K47" s="1" t="s">
        <v>39</v>
      </c>
      <c r="L47" s="1"/>
      <c r="M47" s="1">
        <v>0</v>
      </c>
      <c r="N47" s="1">
        <v>1</v>
      </c>
      <c r="O47" s="1">
        <v>0</v>
      </c>
      <c r="P47" s="1">
        <v>2</v>
      </c>
      <c r="Q47" s="1">
        <v>9.08</v>
      </c>
      <c r="R47" s="1">
        <v>3</v>
      </c>
      <c r="S47" s="1">
        <v>20</v>
      </c>
      <c r="T47" s="1">
        <v>20</v>
      </c>
      <c r="U47" s="1">
        <v>161.8502</v>
      </c>
      <c r="V47" s="1">
        <v>190.78</v>
      </c>
      <c r="W47" s="1">
        <v>2</v>
      </c>
      <c r="X47" s="1">
        <v>16</v>
      </c>
      <c r="Y47" s="1">
        <v>3303.58</v>
      </c>
      <c r="Z47" s="1">
        <v>363.8303</v>
      </c>
      <c r="AA47" s="1">
        <v>2</v>
      </c>
      <c r="AB47" s="1">
        <v>5.625</v>
      </c>
      <c r="AC47" s="1">
        <v>0.8679</v>
      </c>
      <c r="AD47" s="1">
        <v>81300</v>
      </c>
      <c r="AE47" s="1">
        <v>3</v>
      </c>
      <c r="AF47" s="1">
        <v>12.3076</v>
      </c>
      <c r="AG47" s="1">
        <v>1.0612</v>
      </c>
      <c r="AH47" s="1">
        <v>32</v>
      </c>
      <c r="AI47" s="1">
        <v>10.4117</v>
      </c>
      <c r="AJ47" s="1"/>
      <c r="AK47" s="1">
        <v>0</v>
      </c>
    </row>
    <row r="48" s="1" customFormat="1" spans="1:37">
      <c r="A48" s="1">
        <f t="shared" si="0"/>
        <v>100046</v>
      </c>
      <c r="B48" s="1">
        <f t="shared" si="1"/>
        <v>300046</v>
      </c>
      <c r="C48" s="1">
        <v>20250311</v>
      </c>
      <c r="D48" s="2">
        <v>45727.5672337963</v>
      </c>
      <c r="E48" s="1">
        <v>25</v>
      </c>
      <c r="F48" s="1">
        <v>25</v>
      </c>
      <c r="G48" s="1">
        <v>11445.44</v>
      </c>
      <c r="H48" s="1">
        <v>2170017918</v>
      </c>
      <c r="I48" s="1" t="s">
        <v>40</v>
      </c>
      <c r="J48" s="1" t="s">
        <v>49</v>
      </c>
      <c r="K48" s="1" t="s">
        <v>43</v>
      </c>
      <c r="L48" s="1"/>
      <c r="M48" s="1">
        <v>1</v>
      </c>
      <c r="N48" s="1">
        <v>1</v>
      </c>
      <c r="O48" s="1">
        <v>0</v>
      </c>
      <c r="P48" s="1">
        <v>2</v>
      </c>
      <c r="Q48" s="1">
        <v>25</v>
      </c>
      <c r="R48" s="1">
        <v>0</v>
      </c>
      <c r="S48" s="1">
        <v>0</v>
      </c>
      <c r="T48" s="1">
        <v>0</v>
      </c>
      <c r="U48" s="1"/>
      <c r="V48" s="1">
        <v>0</v>
      </c>
      <c r="W48" s="1">
        <v>1</v>
      </c>
      <c r="X48" s="1"/>
      <c r="Y48" s="1">
        <v>0</v>
      </c>
      <c r="Z48" s="1">
        <v>0</v>
      </c>
      <c r="AA48" s="1">
        <v>1</v>
      </c>
      <c r="AB48" s="1"/>
      <c r="AC48" s="1">
        <v>0</v>
      </c>
      <c r="AD48" s="1">
        <v>50</v>
      </c>
      <c r="AE48" s="1">
        <v>1</v>
      </c>
      <c r="AF48" s="1">
        <v>0</v>
      </c>
      <c r="AG48" s="1">
        <v>0</v>
      </c>
      <c r="AH48" s="1">
        <v>3</v>
      </c>
      <c r="AI48" s="1">
        <v>0</v>
      </c>
      <c r="AJ48" s="1"/>
      <c r="AK48" s="1">
        <v>0</v>
      </c>
    </row>
    <row r="49" s="1" customFormat="1" spans="1:37">
      <c r="A49" s="1">
        <f t="shared" si="0"/>
        <v>100047</v>
      </c>
      <c r="B49" s="1">
        <f t="shared" si="1"/>
        <v>300047</v>
      </c>
      <c r="C49" s="1">
        <v>20250421</v>
      </c>
      <c r="D49" s="2">
        <v>45768.5863194444</v>
      </c>
      <c r="E49" s="1">
        <v>3000</v>
      </c>
      <c r="F49" s="1">
        <v>-3000</v>
      </c>
      <c r="G49" s="1">
        <v>8306.73</v>
      </c>
      <c r="H49" s="1">
        <v>308611060110001</v>
      </c>
      <c r="I49" s="1" t="s">
        <v>37</v>
      </c>
      <c r="J49" s="1" t="s">
        <v>44</v>
      </c>
      <c r="K49" s="1" t="s">
        <v>46</v>
      </c>
      <c r="L49" s="1">
        <v>20250428</v>
      </c>
      <c r="M49" s="1">
        <v>1</v>
      </c>
      <c r="N49" s="1">
        <v>1</v>
      </c>
      <c r="O49" s="1">
        <v>1</v>
      </c>
      <c r="P49" s="1">
        <v>2</v>
      </c>
      <c r="Q49" s="1">
        <v>270220</v>
      </c>
      <c r="R49" s="1">
        <v>5</v>
      </c>
      <c r="S49" s="1">
        <v>16</v>
      </c>
      <c r="T49" s="1">
        <v>3.2</v>
      </c>
      <c r="U49" s="1">
        <v>1</v>
      </c>
      <c r="V49" s="1">
        <v>0</v>
      </c>
      <c r="W49" s="1">
        <v>0</v>
      </c>
      <c r="X49" s="1">
        <v>3.2</v>
      </c>
      <c r="Y49" s="1">
        <v>274261.22</v>
      </c>
      <c r="Z49" s="1">
        <v>1.0149</v>
      </c>
      <c r="AA49" s="1">
        <v>0</v>
      </c>
      <c r="AB49" s="1">
        <v>3.2</v>
      </c>
      <c r="AC49" s="1">
        <v>1.0149</v>
      </c>
      <c r="AD49" s="1">
        <v>84234</v>
      </c>
      <c r="AE49" s="1">
        <v>6</v>
      </c>
      <c r="AF49" s="1">
        <v>4.2</v>
      </c>
      <c r="AG49" s="1">
        <v>1.0298</v>
      </c>
      <c r="AH49" s="1">
        <v>11</v>
      </c>
      <c r="AI49" s="1">
        <v>4.4285</v>
      </c>
      <c r="AJ49" s="1"/>
      <c r="AK49" s="1">
        <v>0</v>
      </c>
    </row>
    <row r="50" s="1" customFormat="1" spans="1:37">
      <c r="A50" s="1">
        <f t="shared" si="0"/>
        <v>100048</v>
      </c>
      <c r="B50" s="1">
        <f t="shared" si="1"/>
        <v>300048</v>
      </c>
      <c r="C50" s="1">
        <v>20250305</v>
      </c>
      <c r="D50" s="2">
        <v>45721.7684490741</v>
      </c>
      <c r="E50" s="1">
        <v>200000</v>
      </c>
      <c r="F50" s="1">
        <v>200000</v>
      </c>
      <c r="G50" s="1">
        <v>200809.27</v>
      </c>
      <c r="H50" s="1">
        <v>6.23668299000086e+18</v>
      </c>
      <c r="I50" s="1" t="s">
        <v>40</v>
      </c>
      <c r="J50" s="1" t="s">
        <v>47</v>
      </c>
      <c r="K50" s="1" t="s">
        <v>43</v>
      </c>
      <c r="L50" s="1">
        <v>20250314</v>
      </c>
      <c r="M50" s="1">
        <v>1</v>
      </c>
      <c r="N50" s="1">
        <v>1</v>
      </c>
      <c r="O50" s="1">
        <v>1</v>
      </c>
      <c r="P50" s="1">
        <v>2</v>
      </c>
      <c r="Q50" s="1">
        <v>200100</v>
      </c>
      <c r="R50" s="1">
        <v>2</v>
      </c>
      <c r="S50" s="1">
        <v>18</v>
      </c>
      <c r="T50" s="1">
        <v>9</v>
      </c>
      <c r="U50" s="1">
        <v>1.0044</v>
      </c>
      <c r="V50" s="1">
        <v>0</v>
      </c>
      <c r="W50" s="1">
        <v>2</v>
      </c>
      <c r="X50" s="1">
        <v>7</v>
      </c>
      <c r="Y50" s="1">
        <v>201522.44</v>
      </c>
      <c r="Z50" s="1">
        <v>1.0071</v>
      </c>
      <c r="AA50" s="1">
        <v>2</v>
      </c>
      <c r="AB50" s="1">
        <v>3.9</v>
      </c>
      <c r="AC50" s="1">
        <v>1.0357</v>
      </c>
      <c r="AD50" s="1">
        <v>253900</v>
      </c>
      <c r="AE50" s="1">
        <v>4</v>
      </c>
      <c r="AF50" s="1">
        <v>9.25</v>
      </c>
      <c r="AG50" s="1">
        <v>1.0564</v>
      </c>
      <c r="AH50" s="1">
        <v>53</v>
      </c>
      <c r="AI50" s="1">
        <v>10.3333</v>
      </c>
      <c r="AJ50" s="1"/>
      <c r="AK50" s="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2026-04-22T07:33:57Z</dcterms:created>
  <dcterms:modified xsi:type="dcterms:W3CDTF">2026-04-22T07:37:09Z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AF9897B2FCF24762AEEA2D595C92193F</vt:lpwstr>
  </property>
  <property fmtid="{D5CDD505-2E9C-101B-9397-08002B2CF9AE}" pid="3" name="KSOProductBuildVer">
    <vt:lpwstr>2052-11.8.2.12094</vt:lpwstr>
  </property>
</Properties>
</file>